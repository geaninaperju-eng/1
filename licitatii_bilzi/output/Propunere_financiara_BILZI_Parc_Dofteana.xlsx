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F3" sheetId="2" state="visible" r:id="rId2"/>
    <sheet xmlns:r="http://schemas.openxmlformats.org/officeDocument/2006/relationships" name="Resurse" sheetId="3" state="visible" r:id="rId3"/>
    <sheet xmlns:r="http://schemas.openxmlformats.org/officeDocument/2006/relationships" name="Analiza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7" sheetId="6" state="visible" r:id="rId6"/>
    <sheet xmlns:r="http://schemas.openxmlformats.org/officeDocument/2006/relationships" name="C8" sheetId="7" state="visible" r:id="rId7"/>
    <sheet xmlns:r="http://schemas.openxmlformats.org/officeDocument/2006/relationships" name="C9" sheetId="8" state="visible" r:id="rId8"/>
    <sheet xmlns:r="http://schemas.openxmlformats.org/officeDocument/2006/relationships" name="Grafic" sheetId="9" state="visible" r:id="rId9"/>
    <sheet xmlns:r="http://schemas.openxmlformats.org/officeDocument/2006/relationships" name="Anexa ofer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001F4E7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4" fontId="0" fillId="4" borderId="0" pivotButton="0" quotePrefix="0" xfId="0"/>
    <xf numFmtId="10" fontId="0" fillId="0" borderId="0" pivotButton="0" quotePrefix="0" xfId="0"/>
    <xf numFmtId="10" fontId="0" fillId="3" borderId="0" pivotButton="0" quotePrefix="0" xfId="0"/>
    <xf numFmtId="4" fontId="3" fillId="0" borderId="0" pivotButton="0" quotePrefix="0" xfId="0"/>
    <xf numFmtId="9" fontId="0" fillId="0" borderId="0" pivotButton="0" quotePrefix="0" xfId="0"/>
    <xf numFmtId="0" fontId="2" fillId="0" borderId="0" applyAlignment="1" pivotButton="0" quotePrefix="0" xfId="0">
      <alignment wrapText="1"/>
    </xf>
    <xf numFmtId="4" fontId="4" fillId="3" borderId="0" pivotButton="0" quotePrefix="0" xfId="0"/>
    <xf numFmtId="165" fontId="4" fillId="3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Propunere financiară – Înlocuire acoperiș clădire Parc Dofteana – DSBC 2026 II (ADV1549806)</t>
        </is>
      </c>
    </row>
    <row r="3">
      <c r="A3" t="inlineStr">
        <is>
          <t xml:space="preserve">Termen: 07.10.2026, ora 10:00 – </t>
        </is>
      </c>
    </row>
    <row r="4">
      <c r="A4" t="inlineStr">
        <is>
          <t>1. Foaia Resurse: prețurile resurselor (fără TVA) din baza de prețuri BILZI, cu sursa fiecăruia. Celulele galbene se pot modifica – oferta se recalculează.</t>
        </is>
      </c>
    </row>
    <row r="5">
      <c r="A5" t="inlineStr">
        <is>
          <t>2. Foaia Analiza: consumurile pe unitatea fiecărui articol din F3 (norme uzuale, de verificat).</t>
        </is>
      </c>
    </row>
    <row r="6">
      <c r="A6" t="inlineStr">
        <is>
          <t>3. F3: prețurile unitare pe material / manoperă / utilaj / transport rezultă din Analiza; CAM 2,25% din manoperă, cheltuieli indirecte și profit în celulele galbene.</t>
        </is>
      </c>
    </row>
    <row r="7">
      <c r="A7" t="inlineStr">
        <is>
          <t>4. C6–C9, Grafic și Anexa se completează singure; rândurile „Verificare” trebuie să fie 0.</t>
        </is>
      </c>
    </row>
    <row r="8">
      <c r="A8" t="inlineStr">
        <is>
          <t>5. Valoarea estimată: 252,389.69 lei fără TVA. Oferta peste această valoare este respinsă.</t>
        </is>
      </c>
    </row>
    <row r="9">
      <c r="A9" t="inlineStr">
        <is>
          <t>Profit aplicat: 12.0% (cel mai mare pas de 0,5% cu care oferta rămâne la cel mult 97% din valoarea estimată, între 5% și 25%).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0" customWidth="1" min="3" max="3"/>
    <col width="6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3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F3 – Lista cu cantitățile de lucrări – deviz ofertă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Simbol</t>
        </is>
      </c>
      <c r="C6" s="3" t="inlineStr">
        <is>
          <t>Denumire articol</t>
        </is>
      </c>
      <c r="D6" s="3" t="inlineStr">
        <is>
          <t>UM</t>
        </is>
      </c>
      <c r="E6" s="3" t="inlineStr">
        <is>
          <t>Cantitate</t>
        </is>
      </c>
      <c r="F6" s="3" t="inlineStr">
        <is>
          <t>PU material</t>
        </is>
      </c>
      <c r="G6" s="3" t="inlineStr">
        <is>
          <t>PU manoperă</t>
        </is>
      </c>
      <c r="H6" s="3" t="inlineStr">
        <is>
          <t>PU utilaj</t>
        </is>
      </c>
      <c r="I6" s="3" t="inlineStr">
        <is>
          <t>PU transport</t>
        </is>
      </c>
      <c r="J6" s="3" t="inlineStr">
        <is>
          <t>Valoare material</t>
        </is>
      </c>
      <c r="K6" s="3" t="inlineStr">
        <is>
          <t>Valoare manoperă</t>
        </is>
      </c>
      <c r="L6" s="3" t="inlineStr">
        <is>
          <t>Valoare utilaj</t>
        </is>
      </c>
      <c r="M6" s="3" t="inlineStr">
        <is>
          <t>Valoare transport</t>
        </is>
      </c>
      <c r="N6" s="3" t="inlineStr">
        <is>
          <t>Total</t>
        </is>
      </c>
    </row>
    <row r="7">
      <c r="C7" s="4" t="inlineStr">
        <is>
          <t>02 Demontări</t>
        </is>
      </c>
    </row>
    <row r="8">
      <c r="A8" t="n">
        <v>1</v>
      </c>
      <c r="B8" t="inlineStr">
        <is>
          <t>DEM001</t>
        </is>
      </c>
      <c r="C8" s="5" t="inlineStr">
        <is>
          <t>Demontare învelitoare țiglă ceramică existentă, cu recuperarea materialului</t>
        </is>
      </c>
      <c r="D8" t="inlineStr">
        <is>
          <t>mp</t>
        </is>
      </c>
      <c r="E8" s="6" t="n">
        <v>600</v>
      </c>
      <c r="F8" s="7">
        <f>ROUND(SUMIFS(Analiza!$J$7:$J$138,Analiza!$A$7:$A$138,$A8,Analiza!$K$7:$K$138,"Material"),2)</f>
        <v/>
      </c>
      <c r="G8" s="7">
        <f>ROUND(SUMIFS(Analiza!$J$7:$J$138,Analiza!$A$7:$A$138,$A8,Analiza!$K$7:$K$138,"Manopera"),2)</f>
        <v/>
      </c>
      <c r="H8" s="7">
        <f>ROUND(SUMIFS(Analiza!$J$7:$J$138,Analiza!$A$7:$A$138,$A8,Analiza!$K$7:$K$138,"Utilaj"),2)</f>
        <v/>
      </c>
      <c r="I8" s="7">
        <f>ROUND(SUMIFS(Analiza!$J$7:$J$138,Analiza!$A$7:$A$138,$A8,Analiza!$K$7:$K$138,"Transport"),2)</f>
        <v/>
      </c>
      <c r="J8" s="7">
        <f>ROUND($E8*F8,2)</f>
        <v/>
      </c>
      <c r="K8" s="7">
        <f>ROUND($E8*G8,2)</f>
        <v/>
      </c>
      <c r="L8" s="7">
        <f>ROUND($E8*H8,2)</f>
        <v/>
      </c>
      <c r="M8" s="7">
        <f>ROUND($E8*I8,2)</f>
        <v/>
      </c>
      <c r="N8" s="7">
        <f>SUM(J8:M8)</f>
        <v/>
      </c>
    </row>
    <row r="9">
      <c r="A9" t="n">
        <v>2</v>
      </c>
      <c r="B9" t="inlineStr">
        <is>
          <t>DEM002</t>
        </is>
      </c>
      <c r="C9" s="5" t="inlineStr">
        <is>
          <t>Demontare sistem pluvial existent (jgheaburi, burlane, cârlige, brățări)</t>
        </is>
      </c>
      <c r="D9" t="inlineStr">
        <is>
          <t>ml</t>
        </is>
      </c>
      <c r="E9" s="6" t="n">
        <v>175.82</v>
      </c>
      <c r="F9" s="7">
        <f>ROUND(SUMIFS(Analiza!$J$7:$J$138,Analiza!$A$7:$A$138,$A9,Analiza!$K$7:$K$138,"Material"),2)</f>
        <v/>
      </c>
      <c r="G9" s="7">
        <f>ROUND(SUMIFS(Analiza!$J$7:$J$138,Analiza!$A$7:$A$138,$A9,Analiza!$K$7:$K$138,"Manopera"),2)</f>
        <v/>
      </c>
      <c r="H9" s="7">
        <f>ROUND(SUMIFS(Analiza!$J$7:$J$138,Analiza!$A$7:$A$138,$A9,Analiza!$K$7:$K$138,"Utilaj"),2)</f>
        <v/>
      </c>
      <c r="I9" s="7">
        <f>ROUND(SUMIFS(Analiza!$J$7:$J$138,Analiza!$A$7:$A$138,$A9,Analiza!$K$7:$K$138,"Transport"),2)</f>
        <v/>
      </c>
      <c r="J9" s="7">
        <f>ROUND($E9*F9,2)</f>
        <v/>
      </c>
      <c r="K9" s="7">
        <f>ROUND($E9*G9,2)</f>
        <v/>
      </c>
      <c r="L9" s="7">
        <f>ROUND($E9*H9,2)</f>
        <v/>
      </c>
      <c r="M9" s="7">
        <f>ROUND($E9*I9,2)</f>
        <v/>
      </c>
      <c r="N9" s="7">
        <f>SUM(J9:M9)</f>
        <v/>
      </c>
    </row>
    <row r="10">
      <c r="A10" t="n">
        <v>3</v>
      </c>
      <c r="B10" t="inlineStr">
        <is>
          <t>DEM003</t>
        </is>
      </c>
      <c r="C10" s="5" t="inlineStr">
        <is>
          <t>Demontare instalație paratrăsnet existentă inclusiv console și elemente de fixare</t>
        </is>
      </c>
      <c r="D10" t="inlineStr">
        <is>
          <t>LS</t>
        </is>
      </c>
      <c r="E10" s="6" t="n">
        <v>1</v>
      </c>
      <c r="F10" s="7">
        <f>ROUND(SUMIFS(Analiza!$J$7:$J$138,Analiza!$A$7:$A$138,$A10,Analiza!$K$7:$K$138,"Material"),2)</f>
        <v/>
      </c>
      <c r="G10" s="7">
        <f>ROUND(SUMIFS(Analiza!$J$7:$J$138,Analiza!$A$7:$A$138,$A10,Analiza!$K$7:$K$138,"Manopera"),2)</f>
        <v/>
      </c>
      <c r="H10" s="7">
        <f>ROUND(SUMIFS(Analiza!$J$7:$J$138,Analiza!$A$7:$A$138,$A10,Analiza!$K$7:$K$138,"Utilaj"),2)</f>
        <v/>
      </c>
      <c r="I10" s="7">
        <f>ROUND(SUMIFS(Analiza!$J$7:$J$138,Analiza!$A$7:$A$138,$A10,Analiza!$K$7:$K$138,"Transport"),2)</f>
        <v/>
      </c>
      <c r="J10" s="7">
        <f>ROUND($E10*F10,2)</f>
        <v/>
      </c>
      <c r="K10" s="7">
        <f>ROUND($E10*G10,2)</f>
        <v/>
      </c>
      <c r="L10" s="7">
        <f>ROUND($E10*H10,2)</f>
        <v/>
      </c>
      <c r="M10" s="7">
        <f>ROUND($E10*I10,2)</f>
        <v/>
      </c>
      <c r="N10" s="7">
        <f>SUM(J10:M10)</f>
        <v/>
      </c>
    </row>
    <row r="11">
      <c r="A11" t="n">
        <v>4</v>
      </c>
      <c r="B11" t="inlineStr">
        <is>
          <t>DEM004</t>
        </is>
      </c>
      <c r="C11" s="5" t="inlineStr">
        <is>
          <t>Demontare șorțuri, capace și elemente metalice aferente coșurilor de fum</t>
        </is>
      </c>
      <c r="D11" t="inlineStr">
        <is>
          <t>buc</t>
        </is>
      </c>
      <c r="E11" s="6" t="n">
        <v>4</v>
      </c>
      <c r="F11" s="7">
        <f>ROUND(SUMIFS(Analiza!$J$7:$J$138,Analiza!$A$7:$A$138,$A11,Analiza!$K$7:$K$138,"Material"),2)</f>
        <v/>
      </c>
      <c r="G11" s="7">
        <f>ROUND(SUMIFS(Analiza!$J$7:$J$138,Analiza!$A$7:$A$138,$A11,Analiza!$K$7:$K$138,"Manopera"),2)</f>
        <v/>
      </c>
      <c r="H11" s="7">
        <f>ROUND(SUMIFS(Analiza!$J$7:$J$138,Analiza!$A$7:$A$138,$A11,Analiza!$K$7:$K$138,"Utilaj"),2)</f>
        <v/>
      </c>
      <c r="I11" s="7">
        <f>ROUND(SUMIFS(Analiza!$J$7:$J$138,Analiza!$A$7:$A$138,$A11,Analiza!$K$7:$K$138,"Transport"),2)</f>
        <v/>
      </c>
      <c r="J11" s="7">
        <f>ROUND($E11*F11,2)</f>
        <v/>
      </c>
      <c r="K11" s="7">
        <f>ROUND($E11*G11,2)</f>
        <v/>
      </c>
      <c r="L11" s="7">
        <f>ROUND($E11*H11,2)</f>
        <v/>
      </c>
      <c r="M11" s="7">
        <f>ROUND($E11*I11,2)</f>
        <v/>
      </c>
      <c r="N11" s="7">
        <f>SUM(J11:M11)</f>
        <v/>
      </c>
    </row>
    <row r="12">
      <c r="A12" t="n">
        <v>5</v>
      </c>
      <c r="B12" t="inlineStr">
        <is>
          <t>DEM005</t>
        </is>
      </c>
      <c r="C12" s="5" t="inlineStr">
        <is>
          <t>Demontare tubulatură ceramică existentă coș fum</t>
        </is>
      </c>
      <c r="D12" t="inlineStr">
        <is>
          <t>ml</t>
        </is>
      </c>
      <c r="E12" s="6" t="n">
        <v>40</v>
      </c>
      <c r="F12" s="7">
        <f>ROUND(SUMIFS(Analiza!$J$7:$J$138,Analiza!$A$7:$A$138,$A12,Analiza!$K$7:$K$138,"Material"),2)</f>
        <v/>
      </c>
      <c r="G12" s="7">
        <f>ROUND(SUMIFS(Analiza!$J$7:$J$138,Analiza!$A$7:$A$138,$A12,Analiza!$K$7:$K$138,"Manopera"),2)</f>
        <v/>
      </c>
      <c r="H12" s="7">
        <f>ROUND(SUMIFS(Analiza!$J$7:$J$138,Analiza!$A$7:$A$138,$A12,Analiza!$K$7:$K$138,"Utilaj"),2)</f>
        <v/>
      </c>
      <c r="I12" s="7">
        <f>ROUND(SUMIFS(Analiza!$J$7:$J$138,Analiza!$A$7:$A$138,$A12,Analiza!$K$7:$K$138,"Transport"),2)</f>
        <v/>
      </c>
      <c r="J12" s="7">
        <f>ROUND($E12*F12,2)</f>
        <v/>
      </c>
      <c r="K12" s="7">
        <f>ROUND($E12*G12,2)</f>
        <v/>
      </c>
      <c r="L12" s="7">
        <f>ROUND($E12*H12,2)</f>
        <v/>
      </c>
      <c r="M12" s="7">
        <f>ROUND($E12*I12,2)</f>
        <v/>
      </c>
      <c r="N12" s="7">
        <f>SUM(J12:M12)</f>
        <v/>
      </c>
    </row>
    <row r="13">
      <c r="A13" t="n">
        <v>6</v>
      </c>
      <c r="B13" t="inlineStr">
        <is>
          <t>DEM006</t>
        </is>
      </c>
      <c r="C13" s="5" t="inlineStr">
        <is>
          <t>Demontare lambriu intrados streașină existent</t>
        </is>
      </c>
      <c r="D13" t="inlineStr">
        <is>
          <t>mp</t>
        </is>
      </c>
      <c r="E13" s="6" t="n">
        <v>155</v>
      </c>
      <c r="F13" s="7">
        <f>ROUND(SUMIFS(Analiza!$J$7:$J$138,Analiza!$A$7:$A$138,$A13,Analiza!$K$7:$K$138,"Material"),2)</f>
        <v/>
      </c>
      <c r="G13" s="7">
        <f>ROUND(SUMIFS(Analiza!$J$7:$J$138,Analiza!$A$7:$A$138,$A13,Analiza!$K$7:$K$138,"Manopera"),2)</f>
        <v/>
      </c>
      <c r="H13" s="7">
        <f>ROUND(SUMIFS(Analiza!$J$7:$J$138,Analiza!$A$7:$A$138,$A13,Analiza!$K$7:$K$138,"Utilaj"),2)</f>
        <v/>
      </c>
      <c r="I13" s="7">
        <f>ROUND(SUMIFS(Analiza!$J$7:$J$138,Analiza!$A$7:$A$138,$A13,Analiza!$K$7:$K$138,"Transport"),2)</f>
        <v/>
      </c>
      <c r="J13" s="7">
        <f>ROUND($E13*F13,2)</f>
        <v/>
      </c>
      <c r="K13" s="7">
        <f>ROUND($E13*G13,2)</f>
        <v/>
      </c>
      <c r="L13" s="7">
        <f>ROUND($E13*H13,2)</f>
        <v/>
      </c>
      <c r="M13" s="7">
        <f>ROUND($E13*I13,2)</f>
        <v/>
      </c>
      <c r="N13" s="7">
        <f>SUM(J13:M13)</f>
        <v/>
      </c>
    </row>
    <row r="14">
      <c r="A14" t="n">
        <v>7</v>
      </c>
      <c r="B14" t="inlineStr">
        <is>
          <t>DEM007</t>
        </is>
      </c>
      <c r="C14" s="5" t="inlineStr">
        <is>
          <t>Demontare elemente lemn degradate (astereală, șipci, contrașipci, pazii)</t>
        </is>
      </c>
      <c r="D14" t="inlineStr">
        <is>
          <t>mp</t>
        </is>
      </c>
      <c r="E14" s="6" t="n">
        <v>600</v>
      </c>
      <c r="F14" s="7">
        <f>ROUND(SUMIFS(Analiza!$J$7:$J$138,Analiza!$A$7:$A$138,$A14,Analiza!$K$7:$K$138,"Material"),2)</f>
        <v/>
      </c>
      <c r="G14" s="7">
        <f>ROUND(SUMIFS(Analiza!$J$7:$J$138,Analiza!$A$7:$A$138,$A14,Analiza!$K$7:$K$138,"Manopera"),2)</f>
        <v/>
      </c>
      <c r="H14" s="7">
        <f>ROUND(SUMIFS(Analiza!$J$7:$J$138,Analiza!$A$7:$A$138,$A14,Analiza!$K$7:$K$138,"Utilaj"),2)</f>
        <v/>
      </c>
      <c r="I14" s="7">
        <f>ROUND(SUMIFS(Analiza!$J$7:$J$138,Analiza!$A$7:$A$138,$A14,Analiza!$K$7:$K$138,"Transport"),2)</f>
        <v/>
      </c>
      <c r="J14" s="7">
        <f>ROUND($E14*F14,2)</f>
        <v/>
      </c>
      <c r="K14" s="7">
        <f>ROUND($E14*G14,2)</f>
        <v/>
      </c>
      <c r="L14" s="7">
        <f>ROUND($E14*H14,2)</f>
        <v/>
      </c>
      <c r="M14" s="7">
        <f>ROUND($E14*I14,2)</f>
        <v/>
      </c>
      <c r="N14" s="7">
        <f>SUM(J14:M14)</f>
        <v/>
      </c>
    </row>
    <row r="15">
      <c r="A15" t="n">
        <v>8</v>
      </c>
      <c r="B15" t="inlineStr">
        <is>
          <t>DEM008</t>
        </is>
      </c>
      <c r="C15" s="5" t="inlineStr">
        <is>
          <t>Demontare firidă electrică și elemente suport existente pentru repoziționare</t>
        </is>
      </c>
      <c r="D15" t="inlineStr">
        <is>
          <t>buc</t>
        </is>
      </c>
      <c r="E15" s="6" t="n">
        <v>1</v>
      </c>
      <c r="F15" s="7">
        <f>ROUND(SUMIFS(Analiza!$J$7:$J$138,Analiza!$A$7:$A$138,$A15,Analiza!$K$7:$K$138,"Material"),2)</f>
        <v/>
      </c>
      <c r="G15" s="7">
        <f>ROUND(SUMIFS(Analiza!$J$7:$J$138,Analiza!$A$7:$A$138,$A15,Analiza!$K$7:$K$138,"Manopera"),2)</f>
        <v/>
      </c>
      <c r="H15" s="7">
        <f>ROUND(SUMIFS(Analiza!$J$7:$J$138,Analiza!$A$7:$A$138,$A15,Analiza!$K$7:$K$138,"Utilaj"),2)</f>
        <v/>
      </c>
      <c r="I15" s="7">
        <f>ROUND(SUMIFS(Analiza!$J$7:$J$138,Analiza!$A$7:$A$138,$A15,Analiza!$K$7:$K$138,"Transport"),2)</f>
        <v/>
      </c>
      <c r="J15" s="7">
        <f>ROUND($E15*F15,2)</f>
        <v/>
      </c>
      <c r="K15" s="7">
        <f>ROUND($E15*G15,2)</f>
        <v/>
      </c>
      <c r="L15" s="7">
        <f>ROUND($E15*H15,2)</f>
        <v/>
      </c>
      <c r="M15" s="7">
        <f>ROUND($E15*I15,2)</f>
        <v/>
      </c>
      <c r="N15" s="7">
        <f>SUM(J15:M15)</f>
        <v/>
      </c>
    </row>
    <row r="16">
      <c r="A16" t="n">
        <v>9</v>
      </c>
      <c r="B16" t="inlineStr">
        <is>
          <t>DEM09</t>
        </is>
      </c>
      <c r="C16" s="5" t="inlineStr">
        <is>
          <t>Transportul manual al materialelor, în spații libere și neaccidentate, prin purtat direct pe primii 10 m distanță orizontală, cu încărcătura de cel mult 50 kg, la o distanță de cel mult 60 m</t>
        </is>
      </c>
      <c r="D16" t="inlineStr">
        <is>
          <t>t</t>
        </is>
      </c>
      <c r="E16" s="6" t="n">
        <v>19</v>
      </c>
      <c r="F16" s="7">
        <f>ROUND(SUMIFS(Analiza!$J$7:$J$138,Analiza!$A$7:$A$138,$A16,Analiza!$K$7:$K$138,"Material"),2)</f>
        <v/>
      </c>
      <c r="G16" s="7">
        <f>ROUND(SUMIFS(Analiza!$J$7:$J$138,Analiza!$A$7:$A$138,$A16,Analiza!$K$7:$K$138,"Manopera"),2)</f>
        <v/>
      </c>
      <c r="H16" s="7">
        <f>ROUND(SUMIFS(Analiza!$J$7:$J$138,Analiza!$A$7:$A$138,$A16,Analiza!$K$7:$K$138,"Utilaj"),2)</f>
        <v/>
      </c>
      <c r="I16" s="7">
        <f>ROUND(SUMIFS(Analiza!$J$7:$J$138,Analiza!$A$7:$A$138,$A16,Analiza!$K$7:$K$138,"Transport"),2)</f>
        <v/>
      </c>
      <c r="J16" s="7">
        <f>ROUND($E16*F16,2)</f>
        <v/>
      </c>
      <c r="K16" s="7">
        <f>ROUND($E16*G16,2)</f>
        <v/>
      </c>
      <c r="L16" s="7">
        <f>ROUND($E16*H16,2)</f>
        <v/>
      </c>
      <c r="M16" s="7">
        <f>ROUND($E16*I16,2)</f>
        <v/>
      </c>
      <c r="N16" s="7">
        <f>SUM(J16:M16)</f>
        <v/>
      </c>
    </row>
    <row r="17">
      <c r="A17" s="8" t="n"/>
      <c r="B17" s="8" t="n"/>
      <c r="C17" s="9" t="inlineStr">
        <is>
          <t>Total 02 Demontări</t>
        </is>
      </c>
      <c r="D17" s="8" t="n"/>
      <c r="E17" s="8" t="n"/>
      <c r="F17" s="8" t="n"/>
      <c r="G17" s="8" t="n"/>
      <c r="H17" s="8" t="n"/>
      <c r="I17" s="8" t="n"/>
      <c r="J17" s="10">
        <f>SUM(J8:J16)</f>
        <v/>
      </c>
      <c r="K17" s="10">
        <f>SUM(K8:K16)</f>
        <v/>
      </c>
      <c r="L17" s="10">
        <f>SUM(L8:L16)</f>
        <v/>
      </c>
      <c r="M17" s="10">
        <f>SUM(M8:M16)</f>
        <v/>
      </c>
      <c r="N17" s="10">
        <f>SUM(N8:N16)</f>
        <v/>
      </c>
    </row>
    <row r="19">
      <c r="C19" s="4" t="inlineStr">
        <is>
          <t>03 Reparații suport lemn</t>
        </is>
      </c>
    </row>
    <row r="20">
      <c r="A20" t="n">
        <v>10</v>
      </c>
      <c r="B20" t="inlineStr">
        <is>
          <t>REP001</t>
        </is>
      </c>
      <c r="C20" s="5" t="inlineStr">
        <is>
          <t>Reparații locale căpriori și grinzi lemn existente prin eclisare și completare secțiune în pod</t>
        </is>
      </c>
      <c r="D20" t="inlineStr">
        <is>
          <t>mc</t>
        </is>
      </c>
      <c r="E20" s="6" t="n">
        <v>1</v>
      </c>
      <c r="F20" s="7">
        <f>ROUND(SUMIFS(Analiza!$J$7:$J$138,Analiza!$A$7:$A$138,$A20,Analiza!$K$7:$K$138,"Material"),2)</f>
        <v/>
      </c>
      <c r="G20" s="7">
        <f>ROUND(SUMIFS(Analiza!$J$7:$J$138,Analiza!$A$7:$A$138,$A20,Analiza!$K$7:$K$138,"Manopera"),2)</f>
        <v/>
      </c>
      <c r="H20" s="7">
        <f>ROUND(SUMIFS(Analiza!$J$7:$J$138,Analiza!$A$7:$A$138,$A20,Analiza!$K$7:$K$138,"Utilaj"),2)</f>
        <v/>
      </c>
      <c r="I20" s="7">
        <f>ROUND(SUMIFS(Analiza!$J$7:$J$138,Analiza!$A$7:$A$138,$A20,Analiza!$K$7:$K$138,"Transport"),2)</f>
        <v/>
      </c>
      <c r="J20" s="7">
        <f>ROUND($E20*F20,2)</f>
        <v/>
      </c>
      <c r="K20" s="7">
        <f>ROUND($E20*G20,2)</f>
        <v/>
      </c>
      <c r="L20" s="7">
        <f>ROUND($E20*H20,2)</f>
        <v/>
      </c>
      <c r="M20" s="7">
        <f>ROUND($E20*I20,2)</f>
        <v/>
      </c>
      <c r="N20" s="7">
        <f>SUM(J20:M20)</f>
        <v/>
      </c>
    </row>
    <row r="21">
      <c r="A21" t="n">
        <v>11</v>
      </c>
      <c r="B21" t="inlineStr">
        <is>
          <t>REP002</t>
        </is>
      </c>
      <c r="C21" s="5" t="inlineStr">
        <is>
          <t>Reparații locale lucarne, terasă existentă, elemente decor lemn (include și consolidări structură de lemn)</t>
        </is>
      </c>
      <c r="D21" t="inlineStr">
        <is>
          <t>buc</t>
        </is>
      </c>
      <c r="E21" s="6" t="n">
        <v>4</v>
      </c>
      <c r="F21" s="7">
        <f>ROUND(SUMIFS(Analiza!$J$7:$J$138,Analiza!$A$7:$A$138,$A21,Analiza!$K$7:$K$138,"Material"),2)</f>
        <v/>
      </c>
      <c r="G21" s="7">
        <f>ROUND(SUMIFS(Analiza!$J$7:$J$138,Analiza!$A$7:$A$138,$A21,Analiza!$K$7:$K$138,"Manopera"),2)</f>
        <v/>
      </c>
      <c r="H21" s="7">
        <f>ROUND(SUMIFS(Analiza!$J$7:$J$138,Analiza!$A$7:$A$138,$A21,Analiza!$K$7:$K$138,"Utilaj"),2)</f>
        <v/>
      </c>
      <c r="I21" s="7">
        <f>ROUND(SUMIFS(Analiza!$J$7:$J$138,Analiza!$A$7:$A$138,$A21,Analiza!$K$7:$K$138,"Transport"),2)</f>
        <v/>
      </c>
      <c r="J21" s="7">
        <f>ROUND($E21*F21,2)</f>
        <v/>
      </c>
      <c r="K21" s="7">
        <f>ROUND($E21*G21,2)</f>
        <v/>
      </c>
      <c r="L21" s="7">
        <f>ROUND($E21*H21,2)</f>
        <v/>
      </c>
      <c r="M21" s="7">
        <f>ROUND($E21*I21,2)</f>
        <v/>
      </c>
      <c r="N21" s="7">
        <f>SUM(J21:M21)</f>
        <v/>
      </c>
    </row>
    <row r="22">
      <c r="A22" t="n">
        <v>12</v>
      </c>
      <c r="B22" t="inlineStr">
        <is>
          <t>REP003</t>
        </is>
      </c>
      <c r="C22" s="5" t="inlineStr">
        <is>
          <t>Curățare strat vechi de vopsea de pe elemente lemn prin sablare laser</t>
        </is>
      </c>
      <c r="D22" t="inlineStr">
        <is>
          <t>ora</t>
        </is>
      </c>
      <c r="E22" s="6" t="n">
        <v>200</v>
      </c>
      <c r="F22" s="7">
        <f>ROUND(SUMIFS(Analiza!$J$7:$J$138,Analiza!$A$7:$A$138,$A22,Analiza!$K$7:$K$138,"Material"),2)</f>
        <v/>
      </c>
      <c r="G22" s="7">
        <f>ROUND(SUMIFS(Analiza!$J$7:$J$138,Analiza!$A$7:$A$138,$A22,Analiza!$K$7:$K$138,"Manopera"),2)</f>
        <v/>
      </c>
      <c r="H22" s="7">
        <f>ROUND(SUMIFS(Analiza!$J$7:$J$138,Analiza!$A$7:$A$138,$A22,Analiza!$K$7:$K$138,"Utilaj"),2)</f>
        <v/>
      </c>
      <c r="I22" s="7">
        <f>ROUND(SUMIFS(Analiza!$J$7:$J$138,Analiza!$A$7:$A$138,$A22,Analiza!$K$7:$K$138,"Transport"),2)</f>
        <v/>
      </c>
      <c r="J22" s="7">
        <f>ROUND($E22*F22,2)</f>
        <v/>
      </c>
      <c r="K22" s="7">
        <f>ROUND($E22*G22,2)</f>
        <v/>
      </c>
      <c r="L22" s="7">
        <f>ROUND($E22*H22,2)</f>
        <v/>
      </c>
      <c r="M22" s="7">
        <f>ROUND($E22*I22,2)</f>
        <v/>
      </c>
      <c r="N22" s="7">
        <f>SUM(J22:M22)</f>
        <v/>
      </c>
    </row>
    <row r="23">
      <c r="A23" t="n">
        <v>13</v>
      </c>
      <c r="B23" t="inlineStr">
        <is>
          <t>REP004</t>
        </is>
      </c>
      <c r="C23" s="5" t="inlineStr">
        <is>
          <t>Chituire, tratament de profunzime, impregnare și vopsire lemn exterior vechi după curățare laser</t>
        </is>
      </c>
      <c r="D23" t="inlineStr">
        <is>
          <t>mp</t>
        </is>
      </c>
      <c r="E23" s="6" t="n">
        <v>50</v>
      </c>
      <c r="F23" s="7">
        <f>ROUND(SUMIFS(Analiza!$J$7:$J$138,Analiza!$A$7:$A$138,$A23,Analiza!$K$7:$K$138,"Material"),2)</f>
        <v/>
      </c>
      <c r="G23" s="7">
        <f>ROUND(SUMIFS(Analiza!$J$7:$J$138,Analiza!$A$7:$A$138,$A23,Analiza!$K$7:$K$138,"Manopera"),2)</f>
        <v/>
      </c>
      <c r="H23" s="7">
        <f>ROUND(SUMIFS(Analiza!$J$7:$J$138,Analiza!$A$7:$A$138,$A23,Analiza!$K$7:$K$138,"Utilaj"),2)</f>
        <v/>
      </c>
      <c r="I23" s="7">
        <f>ROUND(SUMIFS(Analiza!$J$7:$J$138,Analiza!$A$7:$A$138,$A23,Analiza!$K$7:$K$138,"Transport"),2)</f>
        <v/>
      </c>
      <c r="J23" s="7">
        <f>ROUND($E23*F23,2)</f>
        <v/>
      </c>
      <c r="K23" s="7">
        <f>ROUND($E23*G23,2)</f>
        <v/>
      </c>
      <c r="L23" s="7">
        <f>ROUND($E23*H23,2)</f>
        <v/>
      </c>
      <c r="M23" s="7">
        <f>ROUND($E23*I23,2)</f>
        <v/>
      </c>
      <c r="N23" s="7">
        <f>SUM(J23:M23)</f>
        <v/>
      </c>
    </row>
    <row r="24">
      <c r="A24" s="8" t="n"/>
      <c r="B24" s="8" t="n"/>
      <c r="C24" s="9" t="inlineStr">
        <is>
          <t>Total 03 Reparații suport lemn</t>
        </is>
      </c>
      <c r="D24" s="8" t="n"/>
      <c r="E24" s="8" t="n"/>
      <c r="F24" s="8" t="n"/>
      <c r="G24" s="8" t="n"/>
      <c r="H24" s="8" t="n"/>
      <c r="I24" s="8" t="n"/>
      <c r="J24" s="10">
        <f>SUM(J20:J23)</f>
        <v/>
      </c>
      <c r="K24" s="10">
        <f>SUM(K20:K23)</f>
        <v/>
      </c>
      <c r="L24" s="10">
        <f>SUM(L20:L23)</f>
        <v/>
      </c>
      <c r="M24" s="10">
        <f>SUM(M20:M23)</f>
        <v/>
      </c>
      <c r="N24" s="10">
        <f>SUM(N20:N23)</f>
        <v/>
      </c>
    </row>
    <row r="26">
      <c r="C26" s="4" t="inlineStr">
        <is>
          <t>04 Înlocuire învelitoare</t>
        </is>
      </c>
    </row>
    <row r="27">
      <c r="A27" t="n">
        <v>14</v>
      </c>
      <c r="B27" t="inlineStr">
        <is>
          <t>ACS001</t>
        </is>
      </c>
      <c r="C27" s="5" t="inlineStr">
        <is>
          <t>Înlocuire generală astereală existentă din scândură rășinoase de 25 mm</t>
        </is>
      </c>
      <c r="D27" t="inlineStr">
        <is>
          <t>mp</t>
        </is>
      </c>
      <c r="E27" s="6" t="n">
        <v>600</v>
      </c>
      <c r="F27" s="7">
        <f>ROUND(SUMIFS(Analiza!$J$7:$J$138,Analiza!$A$7:$A$138,$A27,Analiza!$K$7:$K$138,"Material"),2)</f>
        <v/>
      </c>
      <c r="G27" s="7">
        <f>ROUND(SUMIFS(Analiza!$J$7:$J$138,Analiza!$A$7:$A$138,$A27,Analiza!$K$7:$K$138,"Manopera"),2)</f>
        <v/>
      </c>
      <c r="H27" s="7">
        <f>ROUND(SUMIFS(Analiza!$J$7:$J$138,Analiza!$A$7:$A$138,$A27,Analiza!$K$7:$K$138,"Utilaj"),2)</f>
        <v/>
      </c>
      <c r="I27" s="7">
        <f>ROUND(SUMIFS(Analiza!$J$7:$J$138,Analiza!$A$7:$A$138,$A27,Analiza!$K$7:$K$138,"Transport"),2)</f>
        <v/>
      </c>
      <c r="J27" s="7">
        <f>ROUND($E27*F27,2)</f>
        <v/>
      </c>
      <c r="K27" s="7">
        <f>ROUND($E27*G27,2)</f>
        <v/>
      </c>
      <c r="L27" s="7">
        <f>ROUND($E27*H27,2)</f>
        <v/>
      </c>
      <c r="M27" s="7">
        <f>ROUND($E27*I27,2)</f>
        <v/>
      </c>
      <c r="N27" s="7">
        <f>SUM(J27:M27)</f>
        <v/>
      </c>
    </row>
    <row r="28">
      <c r="A28" t="n">
        <v>15</v>
      </c>
      <c r="B28" t="inlineStr">
        <is>
          <t>ACS002</t>
        </is>
      </c>
      <c r="C28" s="5" t="inlineStr">
        <is>
          <t>Montaj șipci 50×50 mm și contrașipci rășinoase 30×50 mm</t>
        </is>
      </c>
      <c r="D28" t="inlineStr">
        <is>
          <t>mp</t>
        </is>
      </c>
      <c r="E28" s="6" t="n">
        <v>600</v>
      </c>
      <c r="F28" s="7">
        <f>ROUND(SUMIFS(Analiza!$J$7:$J$138,Analiza!$A$7:$A$138,$A28,Analiza!$K$7:$K$138,"Material"),2)</f>
        <v/>
      </c>
      <c r="G28" s="7">
        <f>ROUND(SUMIFS(Analiza!$J$7:$J$138,Analiza!$A$7:$A$138,$A28,Analiza!$K$7:$K$138,"Manopera"),2)</f>
        <v/>
      </c>
      <c r="H28" s="7">
        <f>ROUND(SUMIFS(Analiza!$J$7:$J$138,Analiza!$A$7:$A$138,$A28,Analiza!$K$7:$K$138,"Utilaj"),2)</f>
        <v/>
      </c>
      <c r="I28" s="7">
        <f>ROUND(SUMIFS(Analiza!$J$7:$J$138,Analiza!$A$7:$A$138,$A28,Analiza!$K$7:$K$138,"Transport"),2)</f>
        <v/>
      </c>
      <c r="J28" s="7">
        <f>ROUND($E28*F28,2)</f>
        <v/>
      </c>
      <c r="K28" s="7">
        <f>ROUND($E28*G28,2)</f>
        <v/>
      </c>
      <c r="L28" s="7">
        <f>ROUND($E28*H28,2)</f>
        <v/>
      </c>
      <c r="M28" s="7">
        <f>ROUND($E28*I28,2)</f>
        <v/>
      </c>
      <c r="N28" s="7">
        <f>SUM(J28:M28)</f>
        <v/>
      </c>
    </row>
    <row r="29">
      <c r="A29" t="n">
        <v>16</v>
      </c>
      <c r="B29" t="inlineStr">
        <is>
          <t>ACS004</t>
        </is>
      </c>
      <c r="C29" s="5" t="inlineStr">
        <is>
          <t>Montaj folie anticondens 120 g/mp</t>
        </is>
      </c>
      <c r="D29" t="inlineStr">
        <is>
          <t>mp</t>
        </is>
      </c>
      <c r="E29" s="6" t="n">
        <v>600</v>
      </c>
      <c r="F29" s="7">
        <f>ROUND(SUMIFS(Analiza!$J$7:$J$138,Analiza!$A$7:$A$138,$A29,Analiza!$K$7:$K$138,"Material"),2)</f>
        <v/>
      </c>
      <c r="G29" s="7">
        <f>ROUND(SUMIFS(Analiza!$J$7:$J$138,Analiza!$A$7:$A$138,$A29,Analiza!$K$7:$K$138,"Manopera"),2)</f>
        <v/>
      </c>
      <c r="H29" s="7">
        <f>ROUND(SUMIFS(Analiza!$J$7:$J$138,Analiza!$A$7:$A$138,$A29,Analiza!$K$7:$K$138,"Utilaj"),2)</f>
        <v/>
      </c>
      <c r="I29" s="7">
        <f>ROUND(SUMIFS(Analiza!$J$7:$J$138,Analiza!$A$7:$A$138,$A29,Analiza!$K$7:$K$138,"Transport"),2)</f>
        <v/>
      </c>
      <c r="J29" s="7">
        <f>ROUND($E29*F29,2)</f>
        <v/>
      </c>
      <c r="K29" s="7">
        <f>ROUND($E29*G29,2)</f>
        <v/>
      </c>
      <c r="L29" s="7">
        <f>ROUND($E29*H29,2)</f>
        <v/>
      </c>
      <c r="M29" s="7">
        <f>ROUND($E29*I29,2)</f>
        <v/>
      </c>
      <c r="N29" s="7">
        <f>SUM(J29:M29)</f>
        <v/>
      </c>
    </row>
    <row r="30">
      <c r="A30" t="n">
        <v>17</v>
      </c>
      <c r="B30" t="inlineStr">
        <is>
          <t>ACS005</t>
        </is>
      </c>
      <c r="C30" s="5" t="inlineStr">
        <is>
          <t>Montaj țiglă ceramică inclusiv accesorii de fixare</t>
        </is>
      </c>
      <c r="D30" t="inlineStr">
        <is>
          <t>mp</t>
        </is>
      </c>
      <c r="E30" s="6" t="n">
        <v>600</v>
      </c>
      <c r="F30" s="7">
        <f>ROUND(SUMIFS(Analiza!$J$7:$J$138,Analiza!$A$7:$A$138,$A30,Analiza!$K$7:$K$138,"Material"),2)</f>
        <v/>
      </c>
      <c r="G30" s="7">
        <f>ROUND(SUMIFS(Analiza!$J$7:$J$138,Analiza!$A$7:$A$138,$A30,Analiza!$K$7:$K$138,"Manopera"),2)</f>
        <v/>
      </c>
      <c r="H30" s="7">
        <f>ROUND(SUMIFS(Analiza!$J$7:$J$138,Analiza!$A$7:$A$138,$A30,Analiza!$K$7:$K$138,"Utilaj"),2)</f>
        <v/>
      </c>
      <c r="I30" s="7">
        <f>ROUND(SUMIFS(Analiza!$J$7:$J$138,Analiza!$A$7:$A$138,$A30,Analiza!$K$7:$K$138,"Transport"),2)</f>
        <v/>
      </c>
      <c r="J30" s="7">
        <f>ROUND($E30*F30,2)</f>
        <v/>
      </c>
      <c r="K30" s="7">
        <f>ROUND($E30*G30,2)</f>
        <v/>
      </c>
      <c r="L30" s="7">
        <f>ROUND($E30*H30,2)</f>
        <v/>
      </c>
      <c r="M30" s="7">
        <f>ROUND($E30*I30,2)</f>
        <v/>
      </c>
      <c r="N30" s="7">
        <f>SUM(J30:M30)</f>
        <v/>
      </c>
    </row>
    <row r="31">
      <c r="A31" t="n">
        <v>18</v>
      </c>
      <c r="B31" t="inlineStr">
        <is>
          <t>ACS006</t>
        </is>
      </c>
      <c r="C31" s="5" t="inlineStr">
        <is>
          <t>Montaj coamă ventilată din țiglă ceramică</t>
        </is>
      </c>
      <c r="D31" t="inlineStr">
        <is>
          <t>ml</t>
        </is>
      </c>
      <c r="E31" s="6" t="n">
        <v>92.18000000000001</v>
      </c>
      <c r="F31" s="7">
        <f>ROUND(SUMIFS(Analiza!$J$7:$J$138,Analiza!$A$7:$A$138,$A31,Analiza!$K$7:$K$138,"Material"),2)</f>
        <v/>
      </c>
      <c r="G31" s="7">
        <f>ROUND(SUMIFS(Analiza!$J$7:$J$138,Analiza!$A$7:$A$138,$A31,Analiza!$K$7:$K$138,"Manopera"),2)</f>
        <v/>
      </c>
      <c r="H31" s="7">
        <f>ROUND(SUMIFS(Analiza!$J$7:$J$138,Analiza!$A$7:$A$138,$A31,Analiza!$K$7:$K$138,"Utilaj"),2)</f>
        <v/>
      </c>
      <c r="I31" s="7">
        <f>ROUND(SUMIFS(Analiza!$J$7:$J$138,Analiza!$A$7:$A$138,$A31,Analiza!$K$7:$K$138,"Transport"),2)</f>
        <v/>
      </c>
      <c r="J31" s="7">
        <f>ROUND($E31*F31,2)</f>
        <v/>
      </c>
      <c r="K31" s="7">
        <f>ROUND($E31*G31,2)</f>
        <v/>
      </c>
      <c r="L31" s="7">
        <f>ROUND($E31*H31,2)</f>
        <v/>
      </c>
      <c r="M31" s="7">
        <f>ROUND($E31*I31,2)</f>
        <v/>
      </c>
      <c r="N31" s="7">
        <f>SUM(J31:M31)</f>
        <v/>
      </c>
    </row>
    <row r="32">
      <c r="A32" t="n">
        <v>19</v>
      </c>
      <c r="B32" t="inlineStr">
        <is>
          <t>ACS007</t>
        </is>
      </c>
      <c r="C32" s="5" t="inlineStr">
        <is>
          <t>Montaj dolie din tablă prevopsită</t>
        </is>
      </c>
      <c r="D32" t="inlineStr">
        <is>
          <t>ml</t>
        </is>
      </c>
      <c r="E32" s="6" t="n">
        <v>26.63</v>
      </c>
      <c r="F32" s="7">
        <f>ROUND(SUMIFS(Analiza!$J$7:$J$138,Analiza!$A$7:$A$138,$A32,Analiza!$K$7:$K$138,"Material"),2)</f>
        <v/>
      </c>
      <c r="G32" s="7">
        <f>ROUND(SUMIFS(Analiza!$J$7:$J$138,Analiza!$A$7:$A$138,$A32,Analiza!$K$7:$K$138,"Manopera"),2)</f>
        <v/>
      </c>
      <c r="H32" s="7">
        <f>ROUND(SUMIFS(Analiza!$J$7:$J$138,Analiza!$A$7:$A$138,$A32,Analiza!$K$7:$K$138,"Utilaj"),2)</f>
        <v/>
      </c>
      <c r="I32" s="7">
        <f>ROUND(SUMIFS(Analiza!$J$7:$J$138,Analiza!$A$7:$A$138,$A32,Analiza!$K$7:$K$138,"Transport"),2)</f>
        <v/>
      </c>
      <c r="J32" s="7">
        <f>ROUND($E32*F32,2)</f>
        <v/>
      </c>
      <c r="K32" s="7">
        <f>ROUND($E32*G32,2)</f>
        <v/>
      </c>
      <c r="L32" s="7">
        <f>ROUND($E32*H32,2)</f>
        <v/>
      </c>
      <c r="M32" s="7">
        <f>ROUND($E32*I32,2)</f>
        <v/>
      </c>
      <c r="N32" s="7">
        <f>SUM(J32:M32)</f>
        <v/>
      </c>
    </row>
    <row r="33">
      <c r="A33" t="n">
        <v>20</v>
      </c>
      <c r="B33" t="inlineStr">
        <is>
          <t>ACS008</t>
        </is>
      </c>
      <c r="C33" s="5" t="inlineStr">
        <is>
          <t>Montaj șorț streașină din tablă prevopsită</t>
        </is>
      </c>
      <c r="D33" t="inlineStr">
        <is>
          <t>ml</t>
        </is>
      </c>
      <c r="E33" s="6" t="n">
        <v>110</v>
      </c>
      <c r="F33" s="7">
        <f>ROUND(SUMIFS(Analiza!$J$7:$J$138,Analiza!$A$7:$A$138,$A33,Analiza!$K$7:$K$138,"Material"),2)</f>
        <v/>
      </c>
      <c r="G33" s="7">
        <f>ROUND(SUMIFS(Analiza!$J$7:$J$138,Analiza!$A$7:$A$138,$A33,Analiza!$K$7:$K$138,"Manopera"),2)</f>
        <v/>
      </c>
      <c r="H33" s="7">
        <f>ROUND(SUMIFS(Analiza!$J$7:$J$138,Analiza!$A$7:$A$138,$A33,Analiza!$K$7:$K$138,"Utilaj"),2)</f>
        <v/>
      </c>
      <c r="I33" s="7">
        <f>ROUND(SUMIFS(Analiza!$J$7:$J$138,Analiza!$A$7:$A$138,$A33,Analiza!$K$7:$K$138,"Transport"),2)</f>
        <v/>
      </c>
      <c r="J33" s="7">
        <f>ROUND($E33*F33,2)</f>
        <v/>
      </c>
      <c r="K33" s="7">
        <f>ROUND($E33*G33,2)</f>
        <v/>
      </c>
      <c r="L33" s="7">
        <f>ROUND($E33*H33,2)</f>
        <v/>
      </c>
      <c r="M33" s="7">
        <f>ROUND($E33*I33,2)</f>
        <v/>
      </c>
      <c r="N33" s="7">
        <f>SUM(J33:M33)</f>
        <v/>
      </c>
    </row>
    <row r="34">
      <c r="A34" t="n">
        <v>21</v>
      </c>
      <c r="B34" t="inlineStr">
        <is>
          <t>ACS009</t>
        </is>
      </c>
      <c r="C34" s="5" t="inlineStr">
        <is>
          <t>Montaj șorț fronton din tablă prevopsită</t>
        </is>
      </c>
      <c r="D34" t="inlineStr">
        <is>
          <t>ml</t>
        </is>
      </c>
      <c r="E34" s="6" t="n">
        <v>9.800000000000001</v>
      </c>
      <c r="F34" s="7">
        <f>ROUND(SUMIFS(Analiza!$J$7:$J$138,Analiza!$A$7:$A$138,$A34,Analiza!$K$7:$K$138,"Material"),2)</f>
        <v/>
      </c>
      <c r="G34" s="7">
        <f>ROUND(SUMIFS(Analiza!$J$7:$J$138,Analiza!$A$7:$A$138,$A34,Analiza!$K$7:$K$138,"Manopera"),2)</f>
        <v/>
      </c>
      <c r="H34" s="7">
        <f>ROUND(SUMIFS(Analiza!$J$7:$J$138,Analiza!$A$7:$A$138,$A34,Analiza!$K$7:$K$138,"Utilaj"),2)</f>
        <v/>
      </c>
      <c r="I34" s="7">
        <f>ROUND(SUMIFS(Analiza!$J$7:$J$138,Analiza!$A$7:$A$138,$A34,Analiza!$K$7:$K$138,"Transport"),2)</f>
        <v/>
      </c>
      <c r="J34" s="7">
        <f>ROUND($E34*F34,2)</f>
        <v/>
      </c>
      <c r="K34" s="7">
        <f>ROUND($E34*G34,2)</f>
        <v/>
      </c>
      <c r="L34" s="7">
        <f>ROUND($E34*H34,2)</f>
        <v/>
      </c>
      <c r="M34" s="7">
        <f>ROUND($E34*I34,2)</f>
        <v/>
      </c>
      <c r="N34" s="7">
        <f>SUM(J34:M34)</f>
        <v/>
      </c>
    </row>
    <row r="35">
      <c r="A35" t="n">
        <v>22</v>
      </c>
      <c r="B35" t="inlineStr">
        <is>
          <t>ACS010</t>
        </is>
      </c>
      <c r="C35" s="5" t="inlineStr">
        <is>
          <t>Montaj opritori de zăpadă pentru țigla ceramică</t>
        </is>
      </c>
      <c r="D35" t="inlineStr">
        <is>
          <t>ml</t>
        </is>
      </c>
      <c r="E35" s="6" t="n">
        <v>70</v>
      </c>
      <c r="F35" s="7">
        <f>ROUND(SUMIFS(Analiza!$J$7:$J$138,Analiza!$A$7:$A$138,$A35,Analiza!$K$7:$K$138,"Material"),2)</f>
        <v/>
      </c>
      <c r="G35" s="7">
        <f>ROUND(SUMIFS(Analiza!$J$7:$J$138,Analiza!$A$7:$A$138,$A35,Analiza!$K$7:$K$138,"Manopera"),2)</f>
        <v/>
      </c>
      <c r="H35" s="7">
        <f>ROUND(SUMIFS(Analiza!$J$7:$J$138,Analiza!$A$7:$A$138,$A35,Analiza!$K$7:$K$138,"Utilaj"),2)</f>
        <v/>
      </c>
      <c r="I35" s="7">
        <f>ROUND(SUMIFS(Analiza!$J$7:$J$138,Analiza!$A$7:$A$138,$A35,Analiza!$K$7:$K$138,"Transport"),2)</f>
        <v/>
      </c>
      <c r="J35" s="7">
        <f>ROUND($E35*F35,2)</f>
        <v/>
      </c>
      <c r="K35" s="7">
        <f>ROUND($E35*G35,2)</f>
        <v/>
      </c>
      <c r="L35" s="7">
        <f>ROUND($E35*H35,2)</f>
        <v/>
      </c>
      <c r="M35" s="7">
        <f>ROUND($E35*I35,2)</f>
        <v/>
      </c>
      <c r="N35" s="7">
        <f>SUM(J35:M35)</f>
        <v/>
      </c>
    </row>
    <row r="36">
      <c r="A36" t="n">
        <v>23</v>
      </c>
      <c r="B36" t="inlineStr">
        <is>
          <t>ACS012</t>
        </is>
      </c>
      <c r="C36" s="5" t="inlineStr">
        <is>
          <t>Montaj șorț de racord la perete (lucarne)</t>
        </is>
      </c>
      <c r="D36" t="inlineStr">
        <is>
          <t>ml</t>
        </is>
      </c>
      <c r="E36" s="6" t="n">
        <v>25.4</v>
      </c>
      <c r="F36" s="7">
        <f>ROUND(SUMIFS(Analiza!$J$7:$J$138,Analiza!$A$7:$A$138,$A36,Analiza!$K$7:$K$138,"Material"),2)</f>
        <v/>
      </c>
      <c r="G36" s="7">
        <f>ROUND(SUMIFS(Analiza!$J$7:$J$138,Analiza!$A$7:$A$138,$A36,Analiza!$K$7:$K$138,"Manopera"),2)</f>
        <v/>
      </c>
      <c r="H36" s="7">
        <f>ROUND(SUMIFS(Analiza!$J$7:$J$138,Analiza!$A$7:$A$138,$A36,Analiza!$K$7:$K$138,"Utilaj"),2)</f>
        <v/>
      </c>
      <c r="I36" s="7">
        <f>ROUND(SUMIFS(Analiza!$J$7:$J$138,Analiza!$A$7:$A$138,$A36,Analiza!$K$7:$K$138,"Transport"),2)</f>
        <v/>
      </c>
      <c r="J36" s="7">
        <f>ROUND($E36*F36,2)</f>
        <v/>
      </c>
      <c r="K36" s="7">
        <f>ROUND($E36*G36,2)</f>
        <v/>
      </c>
      <c r="L36" s="7">
        <f>ROUND($E36*H36,2)</f>
        <v/>
      </c>
      <c r="M36" s="7">
        <f>ROUND($E36*I36,2)</f>
        <v/>
      </c>
      <c r="N36" s="7">
        <f>SUM(J36:M36)</f>
        <v/>
      </c>
    </row>
    <row r="37">
      <c r="A37" s="8" t="n"/>
      <c r="B37" s="8" t="n"/>
      <c r="C37" s="9" t="inlineStr">
        <is>
          <t>Total 04 Înlocuire învelitoare</t>
        </is>
      </c>
      <c r="D37" s="8" t="n"/>
      <c r="E37" s="8" t="n"/>
      <c r="F37" s="8" t="n"/>
      <c r="G37" s="8" t="n"/>
      <c r="H37" s="8" t="n"/>
      <c r="I37" s="8" t="n"/>
      <c r="J37" s="10">
        <f>SUM(J27:J36)</f>
        <v/>
      </c>
      <c r="K37" s="10">
        <f>SUM(K27:K36)</f>
        <v/>
      </c>
      <c r="L37" s="10">
        <f>SUM(L27:L36)</f>
        <v/>
      </c>
      <c r="M37" s="10">
        <f>SUM(M27:M36)</f>
        <v/>
      </c>
      <c r="N37" s="10">
        <f>SUM(N27:N36)</f>
        <v/>
      </c>
    </row>
    <row r="39">
      <c r="C39" s="4" t="inlineStr">
        <is>
          <t>05 Montaj intrados streașină, pazii din lemn</t>
        </is>
      </c>
    </row>
    <row r="40">
      <c r="A40" t="n">
        <v>24</v>
      </c>
      <c r="B40" t="inlineStr">
        <is>
          <t>ACS001</t>
        </is>
      </c>
      <c r="C40" s="5" t="inlineStr">
        <is>
          <t>Montaj lambriu lemn – larice termotratat, clasa A</t>
        </is>
      </c>
      <c r="D40" t="inlineStr">
        <is>
          <t>mp</t>
        </is>
      </c>
      <c r="E40" s="6" t="n">
        <v>155</v>
      </c>
      <c r="F40" s="7">
        <f>ROUND(SUMIFS(Analiza!$J$7:$J$138,Analiza!$A$7:$A$138,$A40,Analiza!$K$7:$K$138,"Material"),2)</f>
        <v/>
      </c>
      <c r="G40" s="7">
        <f>ROUND(SUMIFS(Analiza!$J$7:$J$138,Analiza!$A$7:$A$138,$A40,Analiza!$K$7:$K$138,"Manopera"),2)</f>
        <v/>
      </c>
      <c r="H40" s="7">
        <f>ROUND(SUMIFS(Analiza!$J$7:$J$138,Analiza!$A$7:$A$138,$A40,Analiza!$K$7:$K$138,"Utilaj"),2)</f>
        <v/>
      </c>
      <c r="I40" s="7">
        <f>ROUND(SUMIFS(Analiza!$J$7:$J$138,Analiza!$A$7:$A$138,$A40,Analiza!$K$7:$K$138,"Transport"),2)</f>
        <v/>
      </c>
      <c r="J40" s="7">
        <f>ROUND($E40*F40,2)</f>
        <v/>
      </c>
      <c r="K40" s="7">
        <f>ROUND($E40*G40,2)</f>
        <v/>
      </c>
      <c r="L40" s="7">
        <f>ROUND($E40*H40,2)</f>
        <v/>
      </c>
      <c r="M40" s="7">
        <f>ROUND($E40*I40,2)</f>
        <v/>
      </c>
      <c r="N40" s="7">
        <f>SUM(J40:M40)</f>
        <v/>
      </c>
    </row>
    <row r="41">
      <c r="A41" t="n">
        <v>25</v>
      </c>
      <c r="B41" t="inlineStr">
        <is>
          <t>ACS003</t>
        </is>
      </c>
      <c r="C41" s="5" t="inlineStr">
        <is>
          <t>Montaj pazie lemn – larice termotratat, clasa A</t>
        </is>
      </c>
      <c r="D41" t="inlineStr">
        <is>
          <t>ml</t>
        </is>
      </c>
      <c r="E41" s="6" t="n">
        <v>105</v>
      </c>
      <c r="F41" s="7">
        <f>ROUND(SUMIFS(Analiza!$J$7:$J$138,Analiza!$A$7:$A$138,$A41,Analiza!$K$7:$K$138,"Material"),2)</f>
        <v/>
      </c>
      <c r="G41" s="7">
        <f>ROUND(SUMIFS(Analiza!$J$7:$J$138,Analiza!$A$7:$A$138,$A41,Analiza!$K$7:$K$138,"Manopera"),2)</f>
        <v/>
      </c>
      <c r="H41" s="7">
        <f>ROUND(SUMIFS(Analiza!$J$7:$J$138,Analiza!$A$7:$A$138,$A41,Analiza!$K$7:$K$138,"Utilaj"),2)</f>
        <v/>
      </c>
      <c r="I41" s="7">
        <f>ROUND(SUMIFS(Analiza!$J$7:$J$138,Analiza!$A$7:$A$138,$A41,Analiza!$K$7:$K$138,"Transport"),2)</f>
        <v/>
      </c>
      <c r="J41" s="7">
        <f>ROUND($E41*F41,2)</f>
        <v/>
      </c>
      <c r="K41" s="7">
        <f>ROUND($E41*G41,2)</f>
        <v/>
      </c>
      <c r="L41" s="7">
        <f>ROUND($E41*H41,2)</f>
        <v/>
      </c>
      <c r="M41" s="7">
        <f>ROUND($E41*I41,2)</f>
        <v/>
      </c>
      <c r="N41" s="7">
        <f>SUM(J41:M41)</f>
        <v/>
      </c>
    </row>
    <row r="42">
      <c r="A42" s="8" t="n"/>
      <c r="B42" s="8" t="n"/>
      <c r="C42" s="9" t="inlineStr">
        <is>
          <t>Total 05 Montaj intrados streașină, pazii din lemn</t>
        </is>
      </c>
      <c r="D42" s="8" t="n"/>
      <c r="E42" s="8" t="n"/>
      <c r="F42" s="8" t="n"/>
      <c r="G42" s="8" t="n"/>
      <c r="H42" s="8" t="n"/>
      <c r="I42" s="8" t="n"/>
      <c r="J42" s="10">
        <f>SUM(J40:J41)</f>
        <v/>
      </c>
      <c r="K42" s="10">
        <f>SUM(K40:K41)</f>
        <v/>
      </c>
      <c r="L42" s="10">
        <f>SUM(L40:L41)</f>
        <v/>
      </c>
      <c r="M42" s="10">
        <f>SUM(M40:M41)</f>
        <v/>
      </c>
      <c r="N42" s="10">
        <f>SUM(N40:N41)</f>
        <v/>
      </c>
    </row>
    <row r="44">
      <c r="C44" s="4" t="inlineStr">
        <is>
          <t>06 Lucrări la instalații electrice și de protecție la trăsnet</t>
        </is>
      </c>
    </row>
    <row r="45">
      <c r="A45" t="n">
        <v>26</v>
      </c>
      <c r="B45" t="inlineStr">
        <is>
          <t>ACS012</t>
        </is>
      </c>
      <c r="C45" s="5" t="inlineStr">
        <is>
          <t>Refacere instalație paratrăsnet acoperiș</t>
        </is>
      </c>
      <c r="D45" t="inlineStr">
        <is>
          <t>LS</t>
        </is>
      </c>
      <c r="E45" s="6" t="n">
        <v>1</v>
      </c>
      <c r="F45" s="7">
        <f>ROUND(SUMIFS(Analiza!$J$7:$J$138,Analiza!$A$7:$A$138,$A45,Analiza!$K$7:$K$138,"Material"),2)</f>
        <v/>
      </c>
      <c r="G45" s="7">
        <f>ROUND(SUMIFS(Analiza!$J$7:$J$138,Analiza!$A$7:$A$138,$A45,Analiza!$K$7:$K$138,"Manopera"),2)</f>
        <v/>
      </c>
      <c r="H45" s="7">
        <f>ROUND(SUMIFS(Analiza!$J$7:$J$138,Analiza!$A$7:$A$138,$A45,Analiza!$K$7:$K$138,"Utilaj"),2)</f>
        <v/>
      </c>
      <c r="I45" s="7">
        <f>ROUND(SUMIFS(Analiza!$J$7:$J$138,Analiza!$A$7:$A$138,$A45,Analiza!$K$7:$K$138,"Transport"),2)</f>
        <v/>
      </c>
      <c r="J45" s="7">
        <f>ROUND($E45*F45,2)</f>
        <v/>
      </c>
      <c r="K45" s="7">
        <f>ROUND($E45*G45,2)</f>
        <v/>
      </c>
      <c r="L45" s="7">
        <f>ROUND($E45*H45,2)</f>
        <v/>
      </c>
      <c r="M45" s="7">
        <f>ROUND($E45*I45,2)</f>
        <v/>
      </c>
      <c r="N45" s="7">
        <f>SUM(J45:M45)</f>
        <v/>
      </c>
    </row>
    <row r="46">
      <c r="A46" t="n">
        <v>27</v>
      </c>
      <c r="B46" t="inlineStr">
        <is>
          <t>ACS013</t>
        </is>
      </c>
      <c r="C46" s="5" t="inlineStr">
        <is>
          <t>Repoziționare firidă electrică și adaptare suport</t>
        </is>
      </c>
      <c r="D46" t="inlineStr">
        <is>
          <t>buc</t>
        </is>
      </c>
      <c r="E46" s="6" t="n">
        <v>1</v>
      </c>
      <c r="F46" s="7">
        <f>ROUND(SUMIFS(Analiza!$J$7:$J$138,Analiza!$A$7:$A$138,$A46,Analiza!$K$7:$K$138,"Material"),2)</f>
        <v/>
      </c>
      <c r="G46" s="7">
        <f>ROUND(SUMIFS(Analiza!$J$7:$J$138,Analiza!$A$7:$A$138,$A46,Analiza!$K$7:$K$138,"Manopera"),2)</f>
        <v/>
      </c>
      <c r="H46" s="7">
        <f>ROUND(SUMIFS(Analiza!$J$7:$J$138,Analiza!$A$7:$A$138,$A46,Analiza!$K$7:$K$138,"Utilaj"),2)</f>
        <v/>
      </c>
      <c r="I46" s="7">
        <f>ROUND(SUMIFS(Analiza!$J$7:$J$138,Analiza!$A$7:$A$138,$A46,Analiza!$K$7:$K$138,"Transport"),2)</f>
        <v/>
      </c>
      <c r="J46" s="7">
        <f>ROUND($E46*F46,2)</f>
        <v/>
      </c>
      <c r="K46" s="7">
        <f>ROUND($E46*G46,2)</f>
        <v/>
      </c>
      <c r="L46" s="7">
        <f>ROUND($E46*H46,2)</f>
        <v/>
      </c>
      <c r="M46" s="7">
        <f>ROUND($E46*I46,2)</f>
        <v/>
      </c>
      <c r="N46" s="7">
        <f>SUM(J46:M46)</f>
        <v/>
      </c>
    </row>
    <row r="47">
      <c r="A47" s="8" t="n"/>
      <c r="B47" s="8" t="n"/>
      <c r="C47" s="9" t="inlineStr">
        <is>
          <t>Total 06 Lucrări la instalații electrice și de protecție la trăsnet</t>
        </is>
      </c>
      <c r="D47" s="8" t="n"/>
      <c r="E47" s="8" t="n"/>
      <c r="F47" s="8" t="n"/>
      <c r="G47" s="8" t="n"/>
      <c r="H47" s="8" t="n"/>
      <c r="I47" s="8" t="n"/>
      <c r="J47" s="10">
        <f>SUM(J45:J46)</f>
        <v/>
      </c>
      <c r="K47" s="10">
        <f>SUM(K45:K46)</f>
        <v/>
      </c>
      <c r="L47" s="10">
        <f>SUM(L45:L46)</f>
        <v/>
      </c>
      <c r="M47" s="10">
        <f>SUM(M45:M46)</f>
        <v/>
      </c>
      <c r="N47" s="10">
        <f>SUM(N45:N46)</f>
        <v/>
      </c>
    </row>
    <row r="49">
      <c r="C49" s="4" t="inlineStr">
        <is>
          <t>07 Tinichigerie și pluvial</t>
        </is>
      </c>
    </row>
    <row r="50">
      <c r="A50" t="n">
        <v>28</v>
      </c>
      <c r="B50" t="inlineStr">
        <is>
          <t>TIN001</t>
        </is>
      </c>
      <c r="C50" s="5" t="inlineStr">
        <is>
          <t>Montaj jgheab 125 mm RAL 8019</t>
        </is>
      </c>
      <c r="D50" t="inlineStr">
        <is>
          <t>ml</t>
        </is>
      </c>
      <c r="E50" s="6" t="n">
        <v>116.01</v>
      </c>
      <c r="F50" s="7">
        <f>ROUND(SUMIFS(Analiza!$J$7:$J$138,Analiza!$A$7:$A$138,$A50,Analiza!$K$7:$K$138,"Material"),2)</f>
        <v/>
      </c>
      <c r="G50" s="7">
        <f>ROUND(SUMIFS(Analiza!$J$7:$J$138,Analiza!$A$7:$A$138,$A50,Analiza!$K$7:$K$138,"Manopera"),2)</f>
        <v/>
      </c>
      <c r="H50" s="7">
        <f>ROUND(SUMIFS(Analiza!$J$7:$J$138,Analiza!$A$7:$A$138,$A50,Analiza!$K$7:$K$138,"Utilaj"),2)</f>
        <v/>
      </c>
      <c r="I50" s="7">
        <f>ROUND(SUMIFS(Analiza!$J$7:$J$138,Analiza!$A$7:$A$138,$A50,Analiza!$K$7:$K$138,"Transport"),2)</f>
        <v/>
      </c>
      <c r="J50" s="7">
        <f>ROUND($E50*F50,2)</f>
        <v/>
      </c>
      <c r="K50" s="7">
        <f>ROUND($E50*G50,2)</f>
        <v/>
      </c>
      <c r="L50" s="7">
        <f>ROUND($E50*H50,2)</f>
        <v/>
      </c>
      <c r="M50" s="7">
        <f>ROUND($E50*I50,2)</f>
        <v/>
      </c>
      <c r="N50" s="7">
        <f>SUM(J50:M50)</f>
        <v/>
      </c>
    </row>
    <row r="51">
      <c r="A51" t="n">
        <v>29</v>
      </c>
      <c r="B51" t="inlineStr">
        <is>
          <t>TIN002</t>
        </is>
      </c>
      <c r="C51" s="5" t="inlineStr">
        <is>
          <t>Montaj burlan 90 mm / 3 m</t>
        </is>
      </c>
      <c r="D51" t="inlineStr">
        <is>
          <t>ml</t>
        </is>
      </c>
      <c r="E51" s="6" t="n">
        <v>60</v>
      </c>
      <c r="F51" s="7">
        <f>ROUND(SUMIFS(Analiza!$J$7:$J$138,Analiza!$A$7:$A$138,$A51,Analiza!$K$7:$K$138,"Material"),2)</f>
        <v/>
      </c>
      <c r="G51" s="7">
        <f>ROUND(SUMIFS(Analiza!$J$7:$J$138,Analiza!$A$7:$A$138,$A51,Analiza!$K$7:$K$138,"Manopera"),2)</f>
        <v/>
      </c>
      <c r="H51" s="7">
        <f>ROUND(SUMIFS(Analiza!$J$7:$J$138,Analiza!$A$7:$A$138,$A51,Analiza!$K$7:$K$138,"Utilaj"),2)</f>
        <v/>
      </c>
      <c r="I51" s="7">
        <f>ROUND(SUMIFS(Analiza!$J$7:$J$138,Analiza!$A$7:$A$138,$A51,Analiza!$K$7:$K$138,"Transport"),2)</f>
        <v/>
      </c>
      <c r="J51" s="7">
        <f>ROUND($E51*F51,2)</f>
        <v/>
      </c>
      <c r="K51" s="7">
        <f>ROUND($E51*G51,2)</f>
        <v/>
      </c>
      <c r="L51" s="7">
        <f>ROUND($E51*H51,2)</f>
        <v/>
      </c>
      <c r="M51" s="7">
        <f>ROUND($E51*I51,2)</f>
        <v/>
      </c>
      <c r="N51" s="7">
        <f>SUM(J51:M51)</f>
        <v/>
      </c>
    </row>
    <row r="52">
      <c r="A52" t="n">
        <v>30</v>
      </c>
      <c r="B52" t="inlineStr">
        <is>
          <t>TIN003</t>
        </is>
      </c>
      <c r="C52" s="5" t="inlineStr">
        <is>
          <t>Montaj colț exterior jgheab 90 grade 125</t>
        </is>
      </c>
      <c r="D52" t="inlineStr">
        <is>
          <t>buc</t>
        </is>
      </c>
      <c r="E52" s="6" t="n">
        <v>5</v>
      </c>
      <c r="F52" s="7">
        <f>ROUND(SUMIFS(Analiza!$J$7:$J$138,Analiza!$A$7:$A$138,$A52,Analiza!$K$7:$K$138,"Material"),2)</f>
        <v/>
      </c>
      <c r="G52" s="7">
        <f>ROUND(SUMIFS(Analiza!$J$7:$J$138,Analiza!$A$7:$A$138,$A52,Analiza!$K$7:$K$138,"Manopera"),2)</f>
        <v/>
      </c>
      <c r="H52" s="7">
        <f>ROUND(SUMIFS(Analiza!$J$7:$J$138,Analiza!$A$7:$A$138,$A52,Analiza!$K$7:$K$138,"Utilaj"),2)</f>
        <v/>
      </c>
      <c r="I52" s="7">
        <f>ROUND(SUMIFS(Analiza!$J$7:$J$138,Analiza!$A$7:$A$138,$A52,Analiza!$K$7:$K$138,"Transport"),2)</f>
        <v/>
      </c>
      <c r="J52" s="7">
        <f>ROUND($E52*F52,2)</f>
        <v/>
      </c>
      <c r="K52" s="7">
        <f>ROUND($E52*G52,2)</f>
        <v/>
      </c>
      <c r="L52" s="7">
        <f>ROUND($E52*H52,2)</f>
        <v/>
      </c>
      <c r="M52" s="7">
        <f>ROUND($E52*I52,2)</f>
        <v/>
      </c>
      <c r="N52" s="7">
        <f>SUM(J52:M52)</f>
        <v/>
      </c>
    </row>
    <row r="53">
      <c r="A53" t="n">
        <v>31</v>
      </c>
      <c r="B53" t="inlineStr">
        <is>
          <t>TIN004</t>
        </is>
      </c>
      <c r="C53" s="5" t="inlineStr">
        <is>
          <t>Montaj racord jgheab-burlan 125/90</t>
        </is>
      </c>
      <c r="D53" t="inlineStr">
        <is>
          <t>buc</t>
        </is>
      </c>
      <c r="E53" s="6" t="n">
        <v>12</v>
      </c>
      <c r="F53" s="7">
        <f>ROUND(SUMIFS(Analiza!$J$7:$J$138,Analiza!$A$7:$A$138,$A53,Analiza!$K$7:$K$138,"Material"),2)</f>
        <v/>
      </c>
      <c r="G53" s="7">
        <f>ROUND(SUMIFS(Analiza!$J$7:$J$138,Analiza!$A$7:$A$138,$A53,Analiza!$K$7:$K$138,"Manopera"),2)</f>
        <v/>
      </c>
      <c r="H53" s="7">
        <f>ROUND(SUMIFS(Analiza!$J$7:$J$138,Analiza!$A$7:$A$138,$A53,Analiza!$K$7:$K$138,"Utilaj"),2)</f>
        <v/>
      </c>
      <c r="I53" s="7">
        <f>ROUND(SUMIFS(Analiza!$J$7:$J$138,Analiza!$A$7:$A$138,$A53,Analiza!$K$7:$K$138,"Transport"),2)</f>
        <v/>
      </c>
      <c r="J53" s="7">
        <f>ROUND($E53*F53,2)</f>
        <v/>
      </c>
      <c r="K53" s="7">
        <f>ROUND($E53*G53,2)</f>
        <v/>
      </c>
      <c r="L53" s="7">
        <f>ROUND($E53*H53,2)</f>
        <v/>
      </c>
      <c r="M53" s="7">
        <f>ROUND($E53*I53,2)</f>
        <v/>
      </c>
      <c r="N53" s="7">
        <f>SUM(J53:M53)</f>
        <v/>
      </c>
    </row>
    <row r="54">
      <c r="A54" t="n">
        <v>32</v>
      </c>
      <c r="B54" t="inlineStr">
        <is>
          <t>TIN005</t>
        </is>
      </c>
      <c r="C54" s="5" t="inlineStr">
        <is>
          <t>Montaj prelungitor intermediar burlan 90 (lungime produs 1 m / 1,2 m)</t>
        </is>
      </c>
      <c r="D54" t="inlineStr">
        <is>
          <t>buc</t>
        </is>
      </c>
      <c r="E54" s="6" t="n">
        <v>12</v>
      </c>
      <c r="F54" s="7">
        <f>ROUND(SUMIFS(Analiza!$J$7:$J$138,Analiza!$A$7:$A$138,$A54,Analiza!$K$7:$K$138,"Material"),2)</f>
        <v/>
      </c>
      <c r="G54" s="7">
        <f>ROUND(SUMIFS(Analiza!$J$7:$J$138,Analiza!$A$7:$A$138,$A54,Analiza!$K$7:$K$138,"Manopera"),2)</f>
        <v/>
      </c>
      <c r="H54" s="7">
        <f>ROUND(SUMIFS(Analiza!$J$7:$J$138,Analiza!$A$7:$A$138,$A54,Analiza!$K$7:$K$138,"Utilaj"),2)</f>
        <v/>
      </c>
      <c r="I54" s="7">
        <f>ROUND(SUMIFS(Analiza!$J$7:$J$138,Analiza!$A$7:$A$138,$A54,Analiza!$K$7:$K$138,"Transport"),2)</f>
        <v/>
      </c>
      <c r="J54" s="7">
        <f>ROUND($E54*F54,2)</f>
        <v/>
      </c>
      <c r="K54" s="7">
        <f>ROUND($E54*G54,2)</f>
        <v/>
      </c>
      <c r="L54" s="7">
        <f>ROUND($E54*H54,2)</f>
        <v/>
      </c>
      <c r="M54" s="7">
        <f>ROUND($E54*I54,2)</f>
        <v/>
      </c>
      <c r="N54" s="7">
        <f>SUM(J54:M54)</f>
        <v/>
      </c>
    </row>
    <row r="55">
      <c r="A55" t="n">
        <v>33</v>
      </c>
      <c r="B55" t="inlineStr">
        <is>
          <t>TIN006</t>
        </is>
      </c>
      <c r="C55" s="5" t="inlineStr">
        <is>
          <t>Montaj coturi burlan 60 grade</t>
        </is>
      </c>
      <c r="D55" t="inlineStr">
        <is>
          <t>buc</t>
        </is>
      </c>
      <c r="E55" s="6" t="n">
        <v>24</v>
      </c>
      <c r="F55" s="7">
        <f>ROUND(SUMIFS(Analiza!$J$7:$J$138,Analiza!$A$7:$A$138,$A55,Analiza!$K$7:$K$138,"Material"),2)</f>
        <v/>
      </c>
      <c r="G55" s="7">
        <f>ROUND(SUMIFS(Analiza!$J$7:$J$138,Analiza!$A$7:$A$138,$A55,Analiza!$K$7:$K$138,"Manopera"),2)</f>
        <v/>
      </c>
      <c r="H55" s="7">
        <f>ROUND(SUMIFS(Analiza!$J$7:$J$138,Analiza!$A$7:$A$138,$A55,Analiza!$K$7:$K$138,"Utilaj"),2)</f>
        <v/>
      </c>
      <c r="I55" s="7">
        <f>ROUND(SUMIFS(Analiza!$J$7:$J$138,Analiza!$A$7:$A$138,$A55,Analiza!$K$7:$K$138,"Transport"),2)</f>
        <v/>
      </c>
      <c r="J55" s="7">
        <f>ROUND($E55*F55,2)</f>
        <v/>
      </c>
      <c r="K55" s="7">
        <f>ROUND($E55*G55,2)</f>
        <v/>
      </c>
      <c r="L55" s="7">
        <f>ROUND($E55*H55,2)</f>
        <v/>
      </c>
      <c r="M55" s="7">
        <f>ROUND($E55*I55,2)</f>
        <v/>
      </c>
      <c r="N55" s="7">
        <f>SUM(J55:M55)</f>
        <v/>
      </c>
    </row>
    <row r="56">
      <c r="A56" t="n">
        <v>34</v>
      </c>
      <c r="B56" t="inlineStr">
        <is>
          <t>TIN007</t>
        </is>
      </c>
      <c r="C56" s="5" t="inlineStr">
        <is>
          <t>Montaj cot evacuare burlan</t>
        </is>
      </c>
      <c r="D56" t="inlineStr">
        <is>
          <t>buc</t>
        </is>
      </c>
      <c r="E56" s="6" t="n">
        <v>12</v>
      </c>
      <c r="F56" s="7">
        <f>ROUND(SUMIFS(Analiza!$J$7:$J$138,Analiza!$A$7:$A$138,$A56,Analiza!$K$7:$K$138,"Material"),2)</f>
        <v/>
      </c>
      <c r="G56" s="7">
        <f>ROUND(SUMIFS(Analiza!$J$7:$J$138,Analiza!$A$7:$A$138,$A56,Analiza!$K$7:$K$138,"Manopera"),2)</f>
        <v/>
      </c>
      <c r="H56" s="7">
        <f>ROUND(SUMIFS(Analiza!$J$7:$J$138,Analiza!$A$7:$A$138,$A56,Analiza!$K$7:$K$138,"Utilaj"),2)</f>
        <v/>
      </c>
      <c r="I56" s="7">
        <f>ROUND(SUMIFS(Analiza!$J$7:$J$138,Analiza!$A$7:$A$138,$A56,Analiza!$K$7:$K$138,"Transport"),2)</f>
        <v/>
      </c>
      <c r="J56" s="7">
        <f>ROUND($E56*F56,2)</f>
        <v/>
      </c>
      <c r="K56" s="7">
        <f>ROUND($E56*G56,2)</f>
        <v/>
      </c>
      <c r="L56" s="7">
        <f>ROUND($E56*H56,2)</f>
        <v/>
      </c>
      <c r="M56" s="7">
        <f>ROUND($E56*I56,2)</f>
        <v/>
      </c>
      <c r="N56" s="7">
        <f>SUM(J56:M56)</f>
        <v/>
      </c>
    </row>
    <row r="57">
      <c r="A57" t="n">
        <v>35</v>
      </c>
      <c r="B57" t="inlineStr">
        <is>
          <t>TIN008</t>
        </is>
      </c>
      <c r="C57" s="5" t="inlineStr">
        <is>
          <t>Montaj coliere burlan 90</t>
        </is>
      </c>
      <c r="D57" t="inlineStr">
        <is>
          <t>buc</t>
        </is>
      </c>
      <c r="E57" s="6" t="n">
        <v>24</v>
      </c>
      <c r="F57" s="7">
        <f>ROUND(SUMIFS(Analiza!$J$7:$J$138,Analiza!$A$7:$A$138,$A57,Analiza!$K$7:$K$138,"Material"),2)</f>
        <v/>
      </c>
      <c r="G57" s="7">
        <f>ROUND(SUMIFS(Analiza!$J$7:$J$138,Analiza!$A$7:$A$138,$A57,Analiza!$K$7:$K$138,"Manopera"),2)</f>
        <v/>
      </c>
      <c r="H57" s="7">
        <f>ROUND(SUMIFS(Analiza!$J$7:$J$138,Analiza!$A$7:$A$138,$A57,Analiza!$K$7:$K$138,"Utilaj"),2)</f>
        <v/>
      </c>
      <c r="I57" s="7">
        <f>ROUND(SUMIFS(Analiza!$J$7:$J$138,Analiza!$A$7:$A$138,$A57,Analiza!$K$7:$K$138,"Transport"),2)</f>
        <v/>
      </c>
      <c r="J57" s="7">
        <f>ROUND($E57*F57,2)</f>
        <v/>
      </c>
      <c r="K57" s="7">
        <f>ROUND($E57*G57,2)</f>
        <v/>
      </c>
      <c r="L57" s="7">
        <f>ROUND($E57*H57,2)</f>
        <v/>
      </c>
      <c r="M57" s="7">
        <f>ROUND($E57*I57,2)</f>
        <v/>
      </c>
      <c r="N57" s="7">
        <f>SUM(J57:M57)</f>
        <v/>
      </c>
    </row>
    <row r="58">
      <c r="A58" t="n">
        <v>36</v>
      </c>
      <c r="B58" t="inlineStr">
        <is>
          <t>TIN009</t>
        </is>
      </c>
      <c r="C58" s="5" t="inlineStr">
        <is>
          <t>Descărcare ape pluviale liber la sol</t>
        </is>
      </c>
      <c r="D58" t="inlineStr">
        <is>
          <t>buc</t>
        </is>
      </c>
      <c r="E58" s="6" t="n">
        <v>12</v>
      </c>
      <c r="F58" s="7">
        <f>ROUND(SUMIFS(Analiza!$J$7:$J$138,Analiza!$A$7:$A$138,$A58,Analiza!$K$7:$K$138,"Material"),2)</f>
        <v/>
      </c>
      <c r="G58" s="7">
        <f>ROUND(SUMIFS(Analiza!$J$7:$J$138,Analiza!$A$7:$A$138,$A58,Analiza!$K$7:$K$138,"Manopera"),2)</f>
        <v/>
      </c>
      <c r="H58" s="7">
        <f>ROUND(SUMIFS(Analiza!$J$7:$J$138,Analiza!$A$7:$A$138,$A58,Analiza!$K$7:$K$138,"Utilaj"),2)</f>
        <v/>
      </c>
      <c r="I58" s="7">
        <f>ROUND(SUMIFS(Analiza!$J$7:$J$138,Analiza!$A$7:$A$138,$A58,Analiza!$K$7:$K$138,"Transport"),2)</f>
        <v/>
      </c>
      <c r="J58" s="7">
        <f>ROUND($E58*F58,2)</f>
        <v/>
      </c>
      <c r="K58" s="7">
        <f>ROUND($E58*G58,2)</f>
        <v/>
      </c>
      <c r="L58" s="7">
        <f>ROUND($E58*H58,2)</f>
        <v/>
      </c>
      <c r="M58" s="7">
        <f>ROUND($E58*I58,2)</f>
        <v/>
      </c>
      <c r="N58" s="7">
        <f>SUM(J58:M58)</f>
        <v/>
      </c>
    </row>
    <row r="59">
      <c r="A59" s="8" t="n"/>
      <c r="B59" s="8" t="n"/>
      <c r="C59" s="9" t="inlineStr">
        <is>
          <t>Total 07 Tinichigerie și pluvial</t>
        </is>
      </c>
      <c r="D59" s="8" t="n"/>
      <c r="E59" s="8" t="n"/>
      <c r="F59" s="8" t="n"/>
      <c r="G59" s="8" t="n"/>
      <c r="H59" s="8" t="n"/>
      <c r="I59" s="8" t="n"/>
      <c r="J59" s="10">
        <f>SUM(J50:J58)</f>
        <v/>
      </c>
      <c r="K59" s="10">
        <f>SUM(K50:K58)</f>
        <v/>
      </c>
      <c r="L59" s="10">
        <f>SUM(L50:L58)</f>
        <v/>
      </c>
      <c r="M59" s="10">
        <f>SUM(M50:M58)</f>
        <v/>
      </c>
      <c r="N59" s="10">
        <f>SUM(N50:N58)</f>
        <v/>
      </c>
    </row>
    <row r="61">
      <c r="C61" s="4" t="inlineStr">
        <is>
          <t>08 Coșuri de fum</t>
        </is>
      </c>
    </row>
    <row r="62">
      <c r="A62" t="n">
        <v>37</v>
      </c>
      <c r="B62" t="inlineStr">
        <is>
          <t>COS000</t>
        </is>
      </c>
      <c r="C62" s="5" t="inlineStr">
        <is>
          <t>Reparații și curățare exterioară coșuri de fum existente</t>
        </is>
      </c>
      <c r="D62" t="inlineStr">
        <is>
          <t>mp</t>
        </is>
      </c>
      <c r="E62" s="6" t="n">
        <v>31.9</v>
      </c>
      <c r="F62" s="7">
        <f>ROUND(SUMIFS(Analiza!$J$7:$J$138,Analiza!$A$7:$A$138,$A62,Analiza!$K$7:$K$138,"Material"),2)</f>
        <v/>
      </c>
      <c r="G62" s="7">
        <f>ROUND(SUMIFS(Analiza!$J$7:$J$138,Analiza!$A$7:$A$138,$A62,Analiza!$K$7:$K$138,"Manopera"),2)</f>
        <v/>
      </c>
      <c r="H62" s="7">
        <f>ROUND(SUMIFS(Analiza!$J$7:$J$138,Analiza!$A$7:$A$138,$A62,Analiza!$K$7:$K$138,"Utilaj"),2)</f>
        <v/>
      </c>
      <c r="I62" s="7">
        <f>ROUND(SUMIFS(Analiza!$J$7:$J$138,Analiza!$A$7:$A$138,$A62,Analiza!$K$7:$K$138,"Transport"),2)</f>
        <v/>
      </c>
      <c r="J62" s="7">
        <f>ROUND($E62*F62,2)</f>
        <v/>
      </c>
      <c r="K62" s="7">
        <f>ROUND($E62*G62,2)</f>
        <v/>
      </c>
      <c r="L62" s="7">
        <f>ROUND($E62*H62,2)</f>
        <v/>
      </c>
      <c r="M62" s="7">
        <f>ROUND($E62*I62,2)</f>
        <v/>
      </c>
      <c r="N62" s="7">
        <f>SUM(J62:M62)</f>
        <v/>
      </c>
    </row>
    <row r="63">
      <c r="A63" t="n">
        <v>38</v>
      </c>
      <c r="B63" t="inlineStr">
        <is>
          <t>COS001</t>
        </is>
      </c>
      <c r="C63" s="5" t="inlineStr">
        <is>
          <t>Conservare finisaj original coș fum, refacere rosturi și hidrofobizare</t>
        </is>
      </c>
      <c r="D63" t="inlineStr">
        <is>
          <t>mp</t>
        </is>
      </c>
      <c r="E63" s="6" t="n">
        <v>31.9</v>
      </c>
      <c r="F63" s="7">
        <f>ROUND(SUMIFS(Analiza!$J$7:$J$138,Analiza!$A$7:$A$138,$A63,Analiza!$K$7:$K$138,"Material"),2)</f>
        <v/>
      </c>
      <c r="G63" s="7">
        <f>ROUND(SUMIFS(Analiza!$J$7:$J$138,Analiza!$A$7:$A$138,$A63,Analiza!$K$7:$K$138,"Manopera"),2)</f>
        <v/>
      </c>
      <c r="H63" s="7">
        <f>ROUND(SUMIFS(Analiza!$J$7:$J$138,Analiza!$A$7:$A$138,$A63,Analiza!$K$7:$K$138,"Utilaj"),2)</f>
        <v/>
      </c>
      <c r="I63" s="7">
        <f>ROUND(SUMIFS(Analiza!$J$7:$J$138,Analiza!$A$7:$A$138,$A63,Analiza!$K$7:$K$138,"Transport"),2)</f>
        <v/>
      </c>
      <c r="J63" s="7">
        <f>ROUND($E63*F63,2)</f>
        <v/>
      </c>
      <c r="K63" s="7">
        <f>ROUND($E63*G63,2)</f>
        <v/>
      </c>
      <c r="L63" s="7">
        <f>ROUND($E63*H63,2)</f>
        <v/>
      </c>
      <c r="M63" s="7">
        <f>ROUND($E63*I63,2)</f>
        <v/>
      </c>
      <c r="N63" s="7">
        <f>SUM(J63:M63)</f>
        <v/>
      </c>
    </row>
    <row r="64">
      <c r="A64" t="n">
        <v>39</v>
      </c>
      <c r="B64" t="inlineStr">
        <is>
          <t>COS002</t>
        </is>
      </c>
      <c r="C64" s="5" t="inlineStr">
        <is>
          <t>Montaj tubulatură coș fum inox</t>
        </is>
      </c>
      <c r="D64" t="inlineStr">
        <is>
          <t>buc</t>
        </is>
      </c>
      <c r="E64" s="6" t="n">
        <v>4</v>
      </c>
      <c r="F64" s="7">
        <f>ROUND(SUMIFS(Analiza!$J$7:$J$138,Analiza!$A$7:$A$138,$A64,Analiza!$K$7:$K$138,"Material"),2)</f>
        <v/>
      </c>
      <c r="G64" s="7">
        <f>ROUND(SUMIFS(Analiza!$J$7:$J$138,Analiza!$A$7:$A$138,$A64,Analiza!$K$7:$K$138,"Manopera"),2)</f>
        <v/>
      </c>
      <c r="H64" s="7">
        <f>ROUND(SUMIFS(Analiza!$J$7:$J$138,Analiza!$A$7:$A$138,$A64,Analiza!$K$7:$K$138,"Utilaj"),2)</f>
        <v/>
      </c>
      <c r="I64" s="7">
        <f>ROUND(SUMIFS(Analiza!$J$7:$J$138,Analiza!$A$7:$A$138,$A64,Analiza!$K$7:$K$138,"Transport"),2)</f>
        <v/>
      </c>
      <c r="J64" s="7">
        <f>ROUND($E64*F64,2)</f>
        <v/>
      </c>
      <c r="K64" s="7">
        <f>ROUND($E64*G64,2)</f>
        <v/>
      </c>
      <c r="L64" s="7">
        <f>ROUND($E64*H64,2)</f>
        <v/>
      </c>
      <c r="M64" s="7">
        <f>ROUND($E64*I64,2)</f>
        <v/>
      </c>
      <c r="N64" s="7">
        <f>SUM(J64:M64)</f>
        <v/>
      </c>
    </row>
    <row r="65">
      <c r="A65" t="n">
        <v>40</v>
      </c>
      <c r="B65" t="inlineStr">
        <is>
          <t>COS003</t>
        </is>
      </c>
      <c r="C65" s="5" t="inlineStr">
        <is>
          <t>Confecționare coronament coș din tablă 0,50 mm RAL 7016, ieșire 40 cm față de coș</t>
        </is>
      </c>
      <c r="D65" t="inlineStr">
        <is>
          <t>buc</t>
        </is>
      </c>
      <c r="E65" s="6" t="n">
        <v>4</v>
      </c>
      <c r="F65" s="7">
        <f>ROUND(SUMIFS(Analiza!$J$7:$J$138,Analiza!$A$7:$A$138,$A65,Analiza!$K$7:$K$138,"Material"),2)</f>
        <v/>
      </c>
      <c r="G65" s="7">
        <f>ROUND(SUMIFS(Analiza!$J$7:$J$138,Analiza!$A$7:$A$138,$A65,Analiza!$K$7:$K$138,"Manopera"),2)</f>
        <v/>
      </c>
      <c r="H65" s="7">
        <f>ROUND(SUMIFS(Analiza!$J$7:$J$138,Analiza!$A$7:$A$138,$A65,Analiza!$K$7:$K$138,"Utilaj"),2)</f>
        <v/>
      </c>
      <c r="I65" s="7">
        <f>ROUND(SUMIFS(Analiza!$J$7:$J$138,Analiza!$A$7:$A$138,$A65,Analiza!$K$7:$K$138,"Transport"),2)</f>
        <v/>
      </c>
      <c r="J65" s="7">
        <f>ROUND($E65*F65,2)</f>
        <v/>
      </c>
      <c r="K65" s="7">
        <f>ROUND($E65*G65,2)</f>
        <v/>
      </c>
      <c r="L65" s="7">
        <f>ROUND($E65*H65,2)</f>
        <v/>
      </c>
      <c r="M65" s="7">
        <f>ROUND($E65*I65,2)</f>
        <v/>
      </c>
      <c r="N65" s="7">
        <f>SUM(J65:M65)</f>
        <v/>
      </c>
    </row>
    <row r="66">
      <c r="A66" t="n">
        <v>41</v>
      </c>
      <c r="B66" t="inlineStr">
        <is>
          <t>COS004</t>
        </is>
      </c>
      <c r="C66" s="5" t="inlineStr">
        <is>
          <t>Montaj șorțuri coș – set complet față, laterale, spate</t>
        </is>
      </c>
      <c r="D66" t="inlineStr">
        <is>
          <t>buc</t>
        </is>
      </c>
      <c r="E66" s="6" t="n">
        <v>4</v>
      </c>
      <c r="F66" s="7">
        <f>ROUND(SUMIFS(Analiza!$J$7:$J$138,Analiza!$A$7:$A$138,$A66,Analiza!$K$7:$K$138,"Material"),2)</f>
        <v/>
      </c>
      <c r="G66" s="7">
        <f>ROUND(SUMIFS(Analiza!$J$7:$J$138,Analiza!$A$7:$A$138,$A66,Analiza!$K$7:$K$138,"Manopera"),2)</f>
        <v/>
      </c>
      <c r="H66" s="7">
        <f>ROUND(SUMIFS(Analiza!$J$7:$J$138,Analiza!$A$7:$A$138,$A66,Analiza!$K$7:$K$138,"Utilaj"),2)</f>
        <v/>
      </c>
      <c r="I66" s="7">
        <f>ROUND(SUMIFS(Analiza!$J$7:$J$138,Analiza!$A$7:$A$138,$A66,Analiza!$K$7:$K$138,"Transport"),2)</f>
        <v/>
      </c>
      <c r="J66" s="7">
        <f>ROUND($E66*F66,2)</f>
        <v/>
      </c>
      <c r="K66" s="7">
        <f>ROUND($E66*G66,2)</f>
        <v/>
      </c>
      <c r="L66" s="7">
        <f>ROUND($E66*H66,2)</f>
        <v/>
      </c>
      <c r="M66" s="7">
        <f>ROUND($E66*I66,2)</f>
        <v/>
      </c>
      <c r="N66" s="7">
        <f>SUM(J66:M66)</f>
        <v/>
      </c>
    </row>
    <row r="67">
      <c r="A67" s="8" t="n"/>
      <c r="B67" s="8" t="n"/>
      <c r="C67" s="9" t="inlineStr">
        <is>
          <t>Total 08 Coșuri de fum</t>
        </is>
      </c>
      <c r="D67" s="8" t="n"/>
      <c r="E67" s="8" t="n"/>
      <c r="F67" s="8" t="n"/>
      <c r="G67" s="8" t="n"/>
      <c r="H67" s="8" t="n"/>
      <c r="I67" s="8" t="n"/>
      <c r="J67" s="10">
        <f>SUM(J62:J66)</f>
        <v/>
      </c>
      <c r="K67" s="10">
        <f>SUM(K62:K66)</f>
        <v/>
      </c>
      <c r="L67" s="10">
        <f>SUM(L62:L66)</f>
        <v/>
      </c>
      <c r="M67" s="10">
        <f>SUM(M62:M66)</f>
        <v/>
      </c>
      <c r="N67" s="10">
        <f>SUM(N62:N66)</f>
        <v/>
      </c>
    </row>
    <row r="69">
      <c r="C69" s="4" t="inlineStr">
        <is>
          <t>Total cheltuieli directe din articole</t>
        </is>
      </c>
      <c r="J69" s="7">
        <f>J17+J24+J37+J42+J47+J59+J67</f>
        <v/>
      </c>
      <c r="K69" s="7">
        <f>K17+K24+K37+K42+K47+K59+K67</f>
        <v/>
      </c>
      <c r="L69" s="7">
        <f>L17+L24+L37+L42+L47+L59+L67</f>
        <v/>
      </c>
      <c r="M69" s="7">
        <f>M17+M24+M37+M42+M47+M59+M67</f>
        <v/>
      </c>
      <c r="N69" s="7">
        <f>N17+N24+N37+N42+N47+N59+N67</f>
        <v/>
      </c>
    </row>
    <row r="70">
      <c r="C70" t="inlineStr">
        <is>
          <t>Contribuție asiguratorie pentru muncă (CAM, % din manoperă)</t>
        </is>
      </c>
      <c r="E70" s="11" t="n">
        <v>0.0225</v>
      </c>
      <c r="K70" s="7">
        <f>ROUND(K69*E70,2)</f>
        <v/>
      </c>
      <c r="N70" s="7">
        <f>K70</f>
        <v/>
      </c>
    </row>
    <row r="71">
      <c r="C71" s="4" t="inlineStr">
        <is>
          <t>Total cheltuieli directe (inclusiv CAM)</t>
        </is>
      </c>
      <c r="N71" s="7">
        <f>N69+N70</f>
        <v/>
      </c>
    </row>
    <row r="72">
      <c r="C72" t="inlineStr">
        <is>
          <t>Cheltuieli indirecte (% din cheltuieli directe)</t>
        </is>
      </c>
      <c r="E72" s="12" t="n">
        <v>0.05</v>
      </c>
      <c r="N72" s="7">
        <f>ROUND(N71*E72,2)</f>
        <v/>
      </c>
    </row>
    <row r="73">
      <c r="C73" t="inlineStr">
        <is>
          <t>Profit (% din cheltuieli directe + indirecte)</t>
        </is>
      </c>
      <c r="E73" s="12" t="n">
        <v>0.12</v>
      </c>
      <c r="N73" s="7">
        <f>ROUND((N71+N72)*E73,2)</f>
        <v/>
      </c>
    </row>
    <row r="74">
      <c r="C74" s="4" t="inlineStr">
        <is>
          <t>TOTAL GENERAL (fără TVA) – se trece în formularul de ofertă</t>
        </is>
      </c>
      <c r="N74" s="13">
        <f>ROUND(N71+N72+N73,2)</f>
        <v/>
      </c>
    </row>
    <row r="75">
      <c r="C75" t="inlineStr">
        <is>
          <t>TVA</t>
        </is>
      </c>
      <c r="E75" s="14" t="n">
        <v>0.21</v>
      </c>
      <c r="N75" s="7">
        <f>ROUND(N74*E75,2)</f>
        <v/>
      </c>
    </row>
    <row r="76">
      <c r="C76" s="4" t="inlineStr">
        <is>
          <t>TOTAL GENERAL cu TVA</t>
        </is>
      </c>
      <c r="N76" s="7">
        <f>N74+N75</f>
        <v/>
      </c>
    </row>
    <row r="78">
      <c r="C78" t="inlineStr">
        <is>
          <t>Valoarea estimată de autoritatea contractantă (fără TVA)</t>
        </is>
      </c>
      <c r="N78" s="7" t="n">
        <v>252389.69</v>
      </c>
    </row>
    <row r="79">
      <c r="C79" t="inlineStr">
        <is>
          <t>Încadrare în valoarea estimată</t>
        </is>
      </c>
      <c r="N79">
        <f>IF(N74&lt;=N78,"DA – "&amp;TEXT(N74/N78,"0,0%")&amp;" din valoarea estimată","NU – depășește valoarea estimată")</f>
        <v/>
      </c>
    </row>
    <row r="81">
      <c r="C81" s="15" t="inlineStr">
        <is>
          <t>Notă: Sursa: F3 din documentația de atribuire (Deviz nr. 8076/1/22.07.2026, devizele 02–08). F3-ul original are și resursele pe fiecare articol (material, manoperă, utilaj, transport); C6–C9 se completează din aceleași liste. Culorile din F3 (jgheab RAL 8019, șorț streașină RAL 8017, coronament RAL 7016) diferă de caietul de sarcini (roșu cupru) – de clarificat.</t>
        </is>
      </c>
    </row>
    <row r="83">
      <c r="C83" t="inlineStr">
        <is>
          <t>OFERTANT,</t>
        </is>
      </c>
    </row>
    <row r="84">
      <c r="C84" t="inlineStr">
        <is>
          <t>BILZI STEEL PROFILE S.R.L.</t>
        </is>
      </c>
    </row>
    <row r="85">
      <c r="C85" t="inlineStr">
        <is>
          <t>Șerban Marius – administrator</t>
        </is>
      </c>
    </row>
    <row r="86">
      <c r="C86" t="inlineStr">
        <is>
          <t>Semnătura și ștampila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  <col width="11" customWidth="1" min="4" max="4"/>
    <col width="14" customWidth="1" min="5" max="5"/>
    <col width="80" customWidth="1" min="6" max="6"/>
  </cols>
  <sheetData>
    <row r="1">
      <c r="A1" s="1" t="inlineStr">
        <is>
          <t>Prețuri resurse (fără TVA)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Cod</t>
        </is>
      </c>
      <c r="B6" s="3" t="inlineStr">
        <is>
          <t>Denumire resursă</t>
        </is>
      </c>
      <c r="C6" s="3" t="inlineStr">
        <is>
          <t>UM</t>
        </is>
      </c>
      <c r="D6" s="3" t="inlineStr">
        <is>
          <t>Categorie</t>
        </is>
      </c>
      <c r="E6" s="3" t="inlineStr">
        <is>
          <t>Preț unitar (lei)</t>
        </is>
      </c>
      <c r="F6" s="3" t="inlineStr">
        <is>
          <t>Sursa prețului</t>
        </is>
      </c>
    </row>
    <row r="7">
      <c r="A7" t="inlineStr">
        <is>
          <t>M01</t>
        </is>
      </c>
      <c r="B7" t="inlineStr">
        <is>
          <t>Cherestea rășinoase (grinzi, căpriori) pentru reparații</t>
        </is>
      </c>
      <c r="C7" t="inlineStr">
        <is>
          <t>mc</t>
        </is>
      </c>
      <c r="D7" t="inlineStr">
        <is>
          <t>Material</t>
        </is>
      </c>
      <c r="E7" s="16" t="n">
        <v>1500</v>
      </c>
      <c r="F7" t="inlineStr">
        <is>
          <t>Estimare (Onești) – de verificat</t>
        </is>
      </c>
    </row>
    <row r="8">
      <c r="A8" t="inlineStr">
        <is>
          <t>M02</t>
        </is>
      </c>
      <c r="B8" t="inlineStr">
        <is>
          <t>Scândură rășinoase 25 mm pentru astereală, tratată</t>
        </is>
      </c>
      <c r="C8" t="inlineStr">
        <is>
          <t>mc</t>
        </is>
      </c>
      <c r="D8" t="inlineStr">
        <is>
          <t>Material</t>
        </is>
      </c>
      <c r="E8" s="16" t="n">
        <v>990</v>
      </c>
      <c r="F8" t="inlineStr">
        <is>
          <t>Depozite cherestea Chitila 02.10.2026: 1.150–1.200 lei/mc (presupus cu TVA) → ~990 lei/mc fără TVA</t>
        </is>
      </c>
    </row>
    <row r="9">
      <c r="A9" t="inlineStr">
        <is>
          <t>M03</t>
        </is>
      </c>
      <c r="B9" t="inlineStr">
        <is>
          <t>Șipci 50×50 și contrașipci 30×50 rășinoase, tratate</t>
        </is>
      </c>
      <c r="C9" t="inlineStr">
        <is>
          <t>mc</t>
        </is>
      </c>
      <c r="D9" t="inlineStr">
        <is>
          <t>Material</t>
        </is>
      </c>
      <c r="E9" s="16" t="n">
        <v>1150</v>
      </c>
      <c r="F9" t="inlineStr">
        <is>
          <t>Depozite cherestea 02.10.2026: șipcă 50×50 2,69–3,10 lei/ml, contrașipcă 1,03–1,55 lei/ml → ~1.150 lei/mc</t>
        </is>
      </c>
    </row>
    <row r="10">
      <c r="A10" t="inlineStr">
        <is>
          <t>M04</t>
        </is>
      </c>
      <c r="B10" t="inlineStr">
        <is>
          <t>Scoabe, cuie și buloane pentru șarpantă</t>
        </is>
      </c>
      <c r="C10" t="inlineStr">
        <is>
          <t>kg</t>
        </is>
      </c>
      <c r="D10" t="inlineStr">
        <is>
          <t>Material</t>
        </is>
      </c>
      <c r="E10" s="16" t="n">
        <v>11</v>
      </c>
      <c r="F10" t="inlineStr">
        <is>
          <t>Estimare (Onești) – de verificat</t>
        </is>
      </c>
    </row>
    <row r="11">
      <c r="A11" t="inlineStr">
        <is>
          <t>M05</t>
        </is>
      </c>
      <c r="B11" t="inlineStr">
        <is>
          <t>Cuie pentru astereală / șipci</t>
        </is>
      </c>
      <c r="C11" t="inlineStr">
        <is>
          <t>kg</t>
        </is>
      </c>
      <c r="D11" t="inlineStr">
        <is>
          <t>Material</t>
        </is>
      </c>
      <c r="E11" s="16" t="n">
        <v>9</v>
      </c>
      <c r="F11" t="inlineStr">
        <is>
          <t>Estimare (Onești) – de verificat</t>
        </is>
      </c>
    </row>
    <row r="12">
      <c r="A12" t="inlineStr">
        <is>
          <t>M06</t>
        </is>
      </c>
      <c r="B12" t="inlineStr">
        <is>
          <t>Soluție fungicidă / insecticidă pentru lemn</t>
        </is>
      </c>
      <c r="C12" t="inlineStr">
        <is>
          <t>l</t>
        </is>
      </c>
      <c r="D12" t="inlineStr">
        <is>
          <t>Material</t>
        </is>
      </c>
      <c r="E12" s="16" t="n">
        <v>14</v>
      </c>
      <c r="F12" t="inlineStr">
        <is>
          <t>Estimare – de verificat</t>
        </is>
      </c>
    </row>
    <row r="13">
      <c r="A13" t="inlineStr">
        <is>
          <t>M08</t>
        </is>
      </c>
      <c r="B13" t="inlineStr">
        <is>
          <t>Folie anticondens min. 120 g/mp</t>
        </is>
      </c>
      <c r="C13" t="inlineStr">
        <is>
          <t>mp</t>
        </is>
      </c>
      <c r="D13" t="inlineStr">
        <is>
          <t>Material</t>
        </is>
      </c>
      <c r="E13" s="16" t="n">
        <v>4.18</v>
      </c>
      <c r="F13" t="inlineStr">
        <is>
          <t>Listă Bilka / Dedeman 02.10.2026: folie anticondens 120–150 g/mp, rolă 75 mp</t>
        </is>
      </c>
    </row>
    <row r="14">
      <c r="A14" t="inlineStr">
        <is>
          <t>M09</t>
        </is>
      </c>
      <c r="B14" t="inlineStr">
        <is>
          <t>Șuruburi autoforante cu garnitură / nituri</t>
        </is>
      </c>
      <c r="C14" t="inlineStr">
        <is>
          <t>buc</t>
        </is>
      </c>
      <c r="D14" t="inlineStr">
        <is>
          <t>Material</t>
        </is>
      </c>
      <c r="E14" s="16" t="n">
        <v>0.25</v>
      </c>
      <c r="F14" t="inlineStr">
        <is>
          <t>Estimare (Onești) – de verificat</t>
        </is>
      </c>
    </row>
    <row r="15">
      <c r="A15" t="inlineStr">
        <is>
          <t>M10</t>
        </is>
      </c>
      <c r="B15" t="inlineStr">
        <is>
          <t>Țiglă ceramică Creaton Balance / Melodie angobată roșu cupru (sau echivalent), inclusiv piese</t>
        </is>
      </c>
      <c r="C15" t="inlineStr">
        <is>
          <t>mp</t>
        </is>
      </c>
      <c r="D15" t="inlineStr">
        <is>
          <t>Material</t>
        </is>
      </c>
      <c r="E15" s="16" t="n">
        <v>66</v>
      </c>
      <c r="F15" t="inlineStr">
        <is>
          <t>Dedeman 02.10.2026: Creaton Balance roșu cupru angoba 7,21 lei/buc fără TVA × 8,7 buc/mp = 62,70 lei/mp + 5% piese speciale</t>
        </is>
      </c>
    </row>
    <row r="16">
      <c r="A16" t="inlineStr">
        <is>
          <t>M11</t>
        </is>
      </c>
      <c r="B16" t="inlineStr">
        <is>
          <t>Cleme de prindere țiglă ceramică</t>
        </is>
      </c>
      <c r="C16" t="inlineStr">
        <is>
          <t>buc</t>
        </is>
      </c>
      <c r="D16" t="inlineStr">
        <is>
          <t>Material</t>
        </is>
      </c>
      <c r="E16" s="16" t="n">
        <v>0.9</v>
      </c>
      <c r="F16" t="inlineStr">
        <is>
          <t>Estimare – de verificat</t>
        </is>
      </c>
    </row>
    <row r="17">
      <c r="A17" t="inlineStr">
        <is>
          <t>M12</t>
        </is>
      </c>
      <c r="B17" t="inlineStr">
        <is>
          <t>Coamă ceramică Creaton (2,5 buc/ml)</t>
        </is>
      </c>
      <c r="C17" t="inlineStr">
        <is>
          <t>ml</t>
        </is>
      </c>
      <c r="D17" t="inlineStr">
        <is>
          <t>Material</t>
        </is>
      </c>
      <c r="E17" s="16" t="n">
        <v>102.15</v>
      </c>
      <c r="F17" t="inlineStr">
        <is>
          <t>Dedeman 02.10.2026: coamă ceramică Creaton PF roșu angoba 40,86 lei/buc × 2,5 buc/ml</t>
        </is>
      </c>
    </row>
    <row r="18">
      <c r="A18" t="inlineStr">
        <is>
          <t>M13</t>
        </is>
      </c>
      <c r="B18" t="inlineStr">
        <is>
          <t>Bandă de coamă ventilată și suport de șipcă coamă</t>
        </is>
      </c>
      <c r="C18" t="inlineStr">
        <is>
          <t>ml</t>
        </is>
      </c>
      <c r="D18" t="inlineStr">
        <is>
          <t>Material</t>
        </is>
      </c>
      <c r="E18" s="16" t="n">
        <v>27.95</v>
      </c>
      <c r="F18" t="inlineStr">
        <is>
          <t>Dedeman 02.10.2026: bandă coamă ventilată Bramac UniRoll 25,95 lei/ml + suport șipcă coamă</t>
        </is>
      </c>
    </row>
    <row r="19">
      <c r="A19" t="inlineStr">
        <is>
          <t>M14</t>
        </is>
      </c>
      <c r="B19" t="inlineStr">
        <is>
          <t>Capăt de coamă / închidere coamă ceramică</t>
        </is>
      </c>
      <c r="C19" t="inlineStr">
        <is>
          <t>buc</t>
        </is>
      </c>
      <c r="D19" t="inlineStr">
        <is>
          <t>Material</t>
        </is>
      </c>
      <c r="E19" s="16" t="n">
        <v>45</v>
      </c>
      <c r="F19" t="inlineStr">
        <is>
          <t>Estimare – de verificat</t>
        </is>
      </c>
    </row>
    <row r="20">
      <c r="A20" t="inlineStr">
        <is>
          <t>M15</t>
        </is>
      </c>
      <c r="B20" t="inlineStr">
        <is>
          <t>Opritor de zăpadă metalic pentru țiglă ceramică Creaton</t>
        </is>
      </c>
      <c r="C20" t="inlineStr">
        <is>
          <t>buc</t>
        </is>
      </c>
      <c r="D20" t="inlineStr">
        <is>
          <t>Material</t>
        </is>
      </c>
      <c r="E20" s="16" t="n">
        <v>5.52</v>
      </c>
      <c r="F20" t="inlineStr">
        <is>
          <t>Dedeman 02.10.2026: opritor zăpadă Creaton Balance 5,52 lei/buc fără TVA</t>
        </is>
      </c>
    </row>
    <row r="21">
      <c r="A21" t="inlineStr">
        <is>
          <t>M17</t>
        </is>
      </c>
      <c r="B21" t="inlineStr">
        <is>
          <t>Etanșant / silicon pentru tinichigerie</t>
        </is>
      </c>
      <c r="C21" t="inlineStr">
        <is>
          <t>buc</t>
        </is>
      </c>
      <c r="D21" t="inlineStr">
        <is>
          <t>Material</t>
        </is>
      </c>
      <c r="E21" s="16" t="n">
        <v>25</v>
      </c>
      <c r="F21" t="inlineStr">
        <is>
          <t>Estimare (Onești) – de verificat</t>
        </is>
      </c>
    </row>
    <row r="22">
      <c r="A22" t="inlineStr">
        <is>
          <t>M18</t>
        </is>
      </c>
      <c r="B22" t="inlineStr">
        <is>
          <t>Lambriu larice termotratat clasa A</t>
        </is>
      </c>
      <c r="C22" t="inlineStr">
        <is>
          <t>mp</t>
        </is>
      </c>
      <c r="D22" t="inlineStr">
        <is>
          <t>Material</t>
        </is>
      </c>
      <c r="E22" s="16" t="n">
        <v>165</v>
      </c>
      <c r="F22" t="inlineStr">
        <is>
          <t>Între lambriu larice 20×146 Lemn Depo 135,54 lei/mp și pin termotratat Dedeman 197,52 lei/mp (larice termotratat negăsit online) – de cerut ofertă</t>
        </is>
      </c>
    </row>
    <row r="23">
      <c r="A23" t="inlineStr">
        <is>
          <t>M19</t>
        </is>
      </c>
      <c r="B23" t="inlineStr">
        <is>
          <t>Șuruburi inox pentru lemn</t>
        </is>
      </c>
      <c r="C23" t="inlineStr">
        <is>
          <t>buc</t>
        </is>
      </c>
      <c r="D23" t="inlineStr">
        <is>
          <t>Material</t>
        </is>
      </c>
      <c r="E23" s="16" t="n">
        <v>0.6</v>
      </c>
      <c r="F23" t="inlineStr">
        <is>
          <t>Estimare – de verificat</t>
        </is>
      </c>
    </row>
    <row r="24">
      <c r="A24" t="inlineStr">
        <is>
          <t>M20</t>
        </is>
      </c>
      <c r="B24" t="inlineStr">
        <is>
          <t>Tablă prevopsită mat 0,50 mm (BILKA)</t>
        </is>
      </c>
      <c r="C24" t="inlineStr">
        <is>
          <t>mp</t>
        </is>
      </c>
      <c r="D24" t="inlineStr">
        <is>
          <t>Material</t>
        </is>
      </c>
      <c r="E24" s="16" t="n">
        <v>33.69</v>
      </c>
      <c r="F24" t="inlineStr">
        <is>
          <t>Listă BILKA 01. Rezidențial – tablă plană mat 0,50 (6,32 €/mp × 5,3313)</t>
        </is>
      </c>
    </row>
    <row r="25">
      <c r="A25" t="inlineStr">
        <is>
          <t>M21</t>
        </is>
      </c>
      <c r="B25" t="inlineStr">
        <is>
          <t>Jgheab 125 mm colorat (BILKA)</t>
        </is>
      </c>
      <c r="C25" t="inlineStr">
        <is>
          <t>ml</t>
        </is>
      </c>
      <c r="D25" t="inlineStr">
        <is>
          <t>Material</t>
        </is>
      </c>
      <c r="E25" s="16" t="n">
        <v>11.22</v>
      </c>
      <c r="F25" t="inlineStr">
        <is>
          <t>Listă BILKA 03. Sistem pluvial – jgheab 125/4 m (8,42 €/buc)</t>
        </is>
      </c>
    </row>
    <row r="26">
      <c r="A26" t="inlineStr">
        <is>
          <t>M22</t>
        </is>
      </c>
      <c r="B26" t="inlineStr">
        <is>
          <t>Cârlig jgheab 125 / 210 mm</t>
        </is>
      </c>
      <c r="C26" t="inlineStr">
        <is>
          <t>buc</t>
        </is>
      </c>
      <c r="D26" t="inlineStr">
        <is>
          <t>Material</t>
        </is>
      </c>
      <c r="E26" s="16" t="n">
        <v>7.52</v>
      </c>
      <c r="F26" t="inlineStr">
        <is>
          <t>Listă BILKA 03. Sistem pluvial</t>
        </is>
      </c>
    </row>
    <row r="27">
      <c r="A27" t="inlineStr">
        <is>
          <t>M23</t>
        </is>
      </c>
      <c r="B27" t="inlineStr">
        <is>
          <t>Burlan 90 mm colorat (BILKA)</t>
        </is>
      </c>
      <c r="C27" t="inlineStr">
        <is>
          <t>ml</t>
        </is>
      </c>
      <c r="D27" t="inlineStr">
        <is>
          <t>Material</t>
        </is>
      </c>
      <c r="E27" s="16" t="n">
        <v>13.84</v>
      </c>
      <c r="F27" t="inlineStr">
        <is>
          <t>Listă BILKA 03. Sistem pluvial – burlan 90/3 m (7,79 €/buc)</t>
        </is>
      </c>
    </row>
    <row r="28">
      <c r="A28" t="inlineStr">
        <is>
          <t>M24</t>
        </is>
      </c>
      <c r="B28" t="inlineStr">
        <is>
          <t>Colț exterior jgheab 90° 125</t>
        </is>
      </c>
      <c r="C28" t="inlineStr">
        <is>
          <t>buc</t>
        </is>
      </c>
      <c r="D28" t="inlineStr">
        <is>
          <t>Material</t>
        </is>
      </c>
      <c r="E28" s="16" t="n">
        <v>39.35</v>
      </c>
      <c r="F28" t="inlineStr">
        <is>
          <t>Listă BILKA 03. Sistem pluvial (7,38 €)</t>
        </is>
      </c>
    </row>
    <row r="29">
      <c r="A29" t="inlineStr">
        <is>
          <t>M25</t>
        </is>
      </c>
      <c r="B29" t="inlineStr">
        <is>
          <t>Racord jgheab – burlan 125/90</t>
        </is>
      </c>
      <c r="C29" t="inlineStr">
        <is>
          <t>buc</t>
        </is>
      </c>
      <c r="D29" t="inlineStr">
        <is>
          <t>Material</t>
        </is>
      </c>
      <c r="E29" s="16" t="n">
        <v>11.89</v>
      </c>
      <c r="F29" t="inlineStr">
        <is>
          <t>Listă BILKA 03. Sistem pluvial</t>
        </is>
      </c>
    </row>
    <row r="30">
      <c r="A30" t="inlineStr">
        <is>
          <t>M26</t>
        </is>
      </c>
      <c r="B30" t="inlineStr">
        <is>
          <t>Prelungitor intermediar burlan 90 / 1 m</t>
        </is>
      </c>
      <c r="C30" t="inlineStr">
        <is>
          <t>buc</t>
        </is>
      </c>
      <c r="D30" t="inlineStr">
        <is>
          <t>Material</t>
        </is>
      </c>
      <c r="E30" s="16" t="n">
        <v>13.86</v>
      </c>
      <c r="F30" t="inlineStr">
        <is>
          <t>Listă BILKA 03. Sistem pluvial</t>
        </is>
      </c>
    </row>
    <row r="31">
      <c r="A31" t="inlineStr">
        <is>
          <t>M27</t>
        </is>
      </c>
      <c r="B31" t="inlineStr">
        <is>
          <t>Cot burlan 60° 90</t>
        </is>
      </c>
      <c r="C31" t="inlineStr">
        <is>
          <t>buc</t>
        </is>
      </c>
      <c r="D31" t="inlineStr">
        <is>
          <t>Material</t>
        </is>
      </c>
      <c r="E31" s="16" t="n">
        <v>11.89</v>
      </c>
      <c r="F31" t="inlineStr">
        <is>
          <t>Listă BILKA 03. Sistem pluvial</t>
        </is>
      </c>
    </row>
    <row r="32">
      <c r="A32" t="inlineStr">
        <is>
          <t>M28</t>
        </is>
      </c>
      <c r="B32" t="inlineStr">
        <is>
          <t>Cot evacuare burlan 90</t>
        </is>
      </c>
      <c r="C32" t="inlineStr">
        <is>
          <t>buc</t>
        </is>
      </c>
      <c r="D32" t="inlineStr">
        <is>
          <t>Material</t>
        </is>
      </c>
      <c r="E32" s="16" t="n">
        <v>12.53</v>
      </c>
      <c r="F32" t="inlineStr">
        <is>
          <t>Listă BILKA 03. Sistem pluvial (2,35 €)</t>
        </is>
      </c>
    </row>
    <row r="33">
      <c r="A33" t="inlineStr">
        <is>
          <t>M29</t>
        </is>
      </c>
      <c r="B33" t="inlineStr">
        <is>
          <t>Colier burlan 90</t>
        </is>
      </c>
      <c r="C33" t="inlineStr">
        <is>
          <t>buc</t>
        </is>
      </c>
      <c r="D33" t="inlineStr">
        <is>
          <t>Material</t>
        </is>
      </c>
      <c r="E33" s="16" t="n">
        <v>4.42</v>
      </c>
      <c r="F33" t="inlineStr">
        <is>
          <t>Listă BILKA 03. Sistem pluvial</t>
        </is>
      </c>
    </row>
    <row r="34">
      <c r="A34" t="inlineStr">
        <is>
          <t>M50</t>
        </is>
      </c>
      <c r="B34" t="inlineStr">
        <is>
          <t>Adeziv / clei pentru lemn, eclise metalice</t>
        </is>
      </c>
      <c r="C34" t="inlineStr">
        <is>
          <t>buc</t>
        </is>
      </c>
      <c r="D34" t="inlineStr">
        <is>
          <t>Material</t>
        </is>
      </c>
      <c r="E34" s="16" t="n">
        <v>25</v>
      </c>
      <c r="F34" t="inlineStr">
        <is>
          <t>Estimare – de verificat</t>
        </is>
      </c>
    </row>
    <row r="35">
      <c r="A35" t="inlineStr">
        <is>
          <t>M51</t>
        </is>
      </c>
      <c r="B35" t="inlineStr">
        <is>
          <t>Elemente decor lemn profilat (completări)</t>
        </is>
      </c>
      <c r="C35" t="inlineStr">
        <is>
          <t>buc</t>
        </is>
      </c>
      <c r="D35" t="inlineStr">
        <is>
          <t>Material</t>
        </is>
      </c>
      <c r="E35" s="16" t="n">
        <v>120</v>
      </c>
      <c r="F35" t="inlineStr">
        <is>
          <t>Estimare – de verificat</t>
        </is>
      </c>
    </row>
    <row r="36">
      <c r="A36" t="inlineStr">
        <is>
          <t>M52</t>
        </is>
      </c>
      <c r="B36" t="inlineStr">
        <is>
          <t>Lazură opacă microporoasă exterior</t>
        </is>
      </c>
      <c r="C36" t="inlineStr">
        <is>
          <t>l</t>
        </is>
      </c>
      <c r="D36" t="inlineStr">
        <is>
          <t>Material</t>
        </is>
      </c>
      <c r="E36" s="16" t="n">
        <v>55</v>
      </c>
      <c r="F36" t="inlineStr">
        <is>
          <t>Estimare – de verificat</t>
        </is>
      </c>
    </row>
    <row r="37">
      <c r="A37" t="inlineStr">
        <is>
          <t>M53</t>
        </is>
      </c>
      <c r="B37" t="inlineStr">
        <is>
          <t>Impregnant / tratament de profunzime lemn</t>
        </is>
      </c>
      <c r="C37" t="inlineStr">
        <is>
          <t>l</t>
        </is>
      </c>
      <c r="D37" t="inlineStr">
        <is>
          <t>Material</t>
        </is>
      </c>
      <c r="E37" s="16" t="n">
        <v>35</v>
      </c>
      <c r="F37" t="inlineStr">
        <is>
          <t>Estimare – de verificat</t>
        </is>
      </c>
    </row>
    <row r="38">
      <c r="A38" t="inlineStr">
        <is>
          <t>M54</t>
        </is>
      </c>
      <c r="B38" t="inlineStr">
        <is>
          <t>Chit pentru lemn exterior</t>
        </is>
      </c>
      <c r="C38" t="inlineStr">
        <is>
          <t>kg</t>
        </is>
      </c>
      <c r="D38" t="inlineStr">
        <is>
          <t>Material</t>
        </is>
      </c>
      <c r="E38" s="16" t="n">
        <v>30</v>
      </c>
      <c r="F38" t="inlineStr">
        <is>
          <t>Estimare – de verificat</t>
        </is>
      </c>
    </row>
    <row r="39">
      <c r="A39" t="inlineStr">
        <is>
          <t>M55</t>
        </is>
      </c>
      <c r="B39" t="inlineStr">
        <is>
          <t>Pazie larice termotratat clasa A</t>
        </is>
      </c>
      <c r="C39" t="inlineStr">
        <is>
          <t>ml</t>
        </is>
      </c>
      <c r="D39" t="inlineStr">
        <is>
          <t>Material</t>
        </is>
      </c>
      <c r="E39" s="16" t="n">
        <v>32</v>
      </c>
      <c r="F39" t="inlineStr">
        <is>
          <t>Estimare din prețul laricelui (~4.500 lei/mc) pentru pazie 22×200 mm + termotratare – de cerut ofertă</t>
        </is>
      </c>
    </row>
    <row r="40">
      <c r="A40" t="inlineStr">
        <is>
          <t>M56</t>
        </is>
      </c>
      <c r="B40" t="inlineStr">
        <is>
          <t>Consumabile sistem laser (lentile, filtre, protecții)</t>
        </is>
      </c>
      <c r="C40" t="inlineStr">
        <is>
          <t>set</t>
        </is>
      </c>
      <c r="D40" t="inlineStr">
        <is>
          <t>Material</t>
        </is>
      </c>
      <c r="E40" s="16" t="n">
        <v>350</v>
      </c>
      <c r="F40" t="inlineStr">
        <is>
          <t>Estimare – de verificat</t>
        </is>
      </c>
    </row>
    <row r="41">
      <c r="A41" t="inlineStr">
        <is>
          <t>M60</t>
        </is>
      </c>
      <c r="B41" t="inlineStr">
        <is>
          <t>Conductor OL-Zn Ø8 mm pentru paratrăsnet</t>
        </is>
      </c>
      <c r="C41" t="inlineStr">
        <is>
          <t>ml</t>
        </is>
      </c>
      <c r="D41" t="inlineStr">
        <is>
          <t>Material</t>
        </is>
      </c>
      <c r="E41" s="16" t="n">
        <v>9</v>
      </c>
      <c r="F41" t="inlineStr">
        <is>
          <t>Estimare – de verificat</t>
        </is>
      </c>
    </row>
    <row r="42">
      <c r="A42" t="inlineStr">
        <is>
          <t>M61</t>
        </is>
      </c>
      <c r="B42" t="inlineStr">
        <is>
          <t>Suporți conductor paratrăsnet pentru țiglă / perete</t>
        </is>
      </c>
      <c r="C42" t="inlineStr">
        <is>
          <t>buc</t>
        </is>
      </c>
      <c r="D42" t="inlineStr">
        <is>
          <t>Material</t>
        </is>
      </c>
      <c r="E42" s="16" t="n">
        <v>9</v>
      </c>
      <c r="F42" t="inlineStr">
        <is>
          <t>Estimare – de verificat</t>
        </is>
      </c>
    </row>
    <row r="43">
      <c r="A43" t="inlineStr">
        <is>
          <t>M62</t>
        </is>
      </c>
      <c r="B43" t="inlineStr">
        <is>
          <t>Piese de separație, cleme, legături la priza de pământ (set)</t>
        </is>
      </c>
      <c r="C43" t="inlineStr">
        <is>
          <t>buc</t>
        </is>
      </c>
      <c r="D43" t="inlineStr">
        <is>
          <t>Material</t>
        </is>
      </c>
      <c r="E43" s="16" t="n">
        <v>650</v>
      </c>
      <c r="F43" t="inlineStr">
        <is>
          <t>Estimare – de verificat</t>
        </is>
      </c>
    </row>
    <row r="44">
      <c r="A44" t="inlineStr">
        <is>
          <t>M63</t>
        </is>
      </c>
      <c r="B44" t="inlineStr">
        <is>
          <t>Buletin de măsurători PRAM (firmă autorizată)</t>
        </is>
      </c>
      <c r="C44" t="inlineStr">
        <is>
          <t>buc</t>
        </is>
      </c>
      <c r="D44" t="inlineStr">
        <is>
          <t>Material</t>
        </is>
      </c>
      <c r="E44" s="16" t="n">
        <v>800</v>
      </c>
      <c r="F44" t="inlineStr">
        <is>
          <t>Estimare – de verificat</t>
        </is>
      </c>
    </row>
    <row r="45">
      <c r="A45" t="inlineStr">
        <is>
          <t>M64</t>
        </is>
      </c>
      <c r="B45" t="inlineStr">
        <is>
          <t>Accesorii repoziționare firidă electrică (cablu, tub, console)</t>
        </is>
      </c>
      <c r="C45" t="inlineStr">
        <is>
          <t>buc</t>
        </is>
      </c>
      <c r="D45" t="inlineStr">
        <is>
          <t>Material</t>
        </is>
      </c>
      <c r="E45" s="16" t="n">
        <v>450</v>
      </c>
      <c r="F45" t="inlineStr">
        <is>
          <t>Estimare – de verificat</t>
        </is>
      </c>
    </row>
    <row r="46">
      <c r="A46" t="inlineStr">
        <is>
          <t>M65</t>
        </is>
      </c>
      <c r="B46" t="inlineStr">
        <is>
          <t>Element descărcare la sol / rigolă pluvială</t>
        </is>
      </c>
      <c r="C46" t="inlineStr">
        <is>
          <t>buc</t>
        </is>
      </c>
      <c r="D46" t="inlineStr">
        <is>
          <t>Material</t>
        </is>
      </c>
      <c r="E46" s="16" t="n">
        <v>35</v>
      </c>
      <c r="F46" t="inlineStr">
        <is>
          <t>Estimare – de verificat</t>
        </is>
      </c>
    </row>
    <row r="47">
      <c r="A47" t="inlineStr">
        <is>
          <t>M70</t>
        </is>
      </c>
      <c r="B47" t="inlineStr">
        <is>
          <t>Cărămidă plină presată</t>
        </is>
      </c>
      <c r="C47" t="inlineStr">
        <is>
          <t>buc</t>
        </is>
      </c>
      <c r="D47" t="inlineStr">
        <is>
          <t>Material</t>
        </is>
      </c>
      <c r="E47" s="16" t="n">
        <v>2.2</v>
      </c>
      <c r="F47" t="inlineStr">
        <is>
          <t>Estimare – de verificat</t>
        </is>
      </c>
    </row>
    <row r="48">
      <c r="A48" t="inlineStr">
        <is>
          <t>M71</t>
        </is>
      </c>
      <c r="B48" t="inlineStr">
        <is>
          <t>Mortar CT29 / ciment-var pentru zidărie și rosturi</t>
        </is>
      </c>
      <c r="C48" t="inlineStr">
        <is>
          <t>kg</t>
        </is>
      </c>
      <c r="D48" t="inlineStr">
        <is>
          <t>Material</t>
        </is>
      </c>
      <c r="E48" s="16" t="n">
        <v>0.9</v>
      </c>
      <c r="F48" t="inlineStr">
        <is>
          <t>Estimare – de verificat</t>
        </is>
      </c>
    </row>
    <row r="49">
      <c r="A49" t="inlineStr">
        <is>
          <t>M72</t>
        </is>
      </c>
      <c r="B49" t="inlineStr">
        <is>
          <t>Hidrofobizant pentru zidărie</t>
        </is>
      </c>
      <c r="C49" t="inlineStr">
        <is>
          <t>l</t>
        </is>
      </c>
      <c r="D49" t="inlineStr">
        <is>
          <t>Material</t>
        </is>
      </c>
      <c r="E49" s="16" t="n">
        <v>38</v>
      </c>
      <c r="F49" t="inlineStr">
        <is>
          <t>Estimare – de verificat</t>
        </is>
      </c>
    </row>
    <row r="50">
      <c r="A50" t="inlineStr">
        <is>
          <t>M73</t>
        </is>
      </c>
      <c r="B50" t="inlineStr">
        <is>
          <t>Tubulatură inox AISI 304 Ø180 mm – kit complet coș (cca. 10 ml cu accesorii)</t>
        </is>
      </c>
      <c r="C50" t="inlineStr">
        <is>
          <t>buc</t>
        </is>
      </c>
      <c r="D50" t="inlineStr">
        <is>
          <t>Material</t>
        </is>
      </c>
      <c r="E50" s="16" t="n">
        <v>1320</v>
      </c>
      <c r="F50" t="inlineStr">
        <is>
          <t>Linox Tehnic 02.10.2026: tub inox AISI 304 Ø180 109,92 lei/ml × 10 ml + căciulă 73,12 + coliere/flanșă</t>
        </is>
      </c>
    </row>
    <row r="51">
      <c r="A51" t="inlineStr">
        <is>
          <t>M75</t>
        </is>
      </c>
      <c r="B51" t="inlineStr">
        <is>
          <t>Tablă prevopsită 0,50 mm RAL 7016 pentru coronament</t>
        </is>
      </c>
      <c r="C51" t="inlineStr">
        <is>
          <t>mp</t>
        </is>
      </c>
      <c r="D51" t="inlineStr">
        <is>
          <t>Material</t>
        </is>
      </c>
      <c r="E51" s="16" t="n">
        <v>33.69</v>
      </c>
      <c r="F51" t="inlineStr">
        <is>
          <t>Listă BILKA 01. Rezidențial – tablă plană mat 0,50</t>
        </is>
      </c>
    </row>
    <row r="52">
      <c r="A52" t="inlineStr">
        <is>
          <t>O01</t>
        </is>
      </c>
      <c r="B52" t="inlineStr">
        <is>
          <t>Dulgher</t>
        </is>
      </c>
      <c r="C52" t="inlineStr">
        <is>
          <t>ore</t>
        </is>
      </c>
      <c r="D52" t="inlineStr">
        <is>
          <t>Manopera</t>
        </is>
      </c>
      <c r="E52" s="16" t="n">
        <v>35</v>
      </c>
      <c r="F52" t="inlineStr">
        <is>
          <t>Tarif BILZI (ca la oferta Onești 01.10.2026)</t>
        </is>
      </c>
    </row>
    <row r="53">
      <c r="A53" t="inlineStr">
        <is>
          <t>O02</t>
        </is>
      </c>
      <c r="B53" t="inlineStr">
        <is>
          <t>Montator învelitori / tinichigiu</t>
        </is>
      </c>
      <c r="C53" t="inlineStr">
        <is>
          <t>ore</t>
        </is>
      </c>
      <c r="D53" t="inlineStr">
        <is>
          <t>Manopera</t>
        </is>
      </c>
      <c r="E53" s="16" t="n">
        <v>35</v>
      </c>
      <c r="F53" t="inlineStr">
        <is>
          <t>Tarif BILZI (ca la oferta Onești 01.10.2026)</t>
        </is>
      </c>
    </row>
    <row r="54">
      <c r="A54" t="inlineStr">
        <is>
          <t>O03</t>
        </is>
      </c>
      <c r="B54" t="inlineStr">
        <is>
          <t>Muncitor necalificat</t>
        </is>
      </c>
      <c r="C54" t="inlineStr">
        <is>
          <t>ore</t>
        </is>
      </c>
      <c r="D54" t="inlineStr">
        <is>
          <t>Manopera</t>
        </is>
      </c>
      <c r="E54" s="16" t="n">
        <v>25</v>
      </c>
      <c r="F54" t="inlineStr">
        <is>
          <t>Tarif BILZI (ca la oferta Onești 01.10.2026)</t>
        </is>
      </c>
    </row>
    <row r="55">
      <c r="A55" t="inlineStr">
        <is>
          <t>O04</t>
        </is>
      </c>
      <c r="B55" t="inlineStr">
        <is>
          <t>Zidar</t>
        </is>
      </c>
      <c r="C55" t="inlineStr">
        <is>
          <t>ore</t>
        </is>
      </c>
      <c r="D55" t="inlineStr">
        <is>
          <t>Manopera</t>
        </is>
      </c>
      <c r="E55" s="16" t="n">
        <v>35</v>
      </c>
      <c r="F55" t="inlineStr">
        <is>
          <t>Tarif BILZI – de verificat</t>
        </is>
      </c>
    </row>
    <row r="56">
      <c r="A56" t="inlineStr">
        <is>
          <t>O05</t>
        </is>
      </c>
      <c r="B56" t="inlineStr">
        <is>
          <t>Electrician autorizat ANRE</t>
        </is>
      </c>
      <c r="C56" t="inlineStr">
        <is>
          <t>ore</t>
        </is>
      </c>
      <c r="D56" t="inlineStr">
        <is>
          <t>Manopera</t>
        </is>
      </c>
      <c r="E56" s="16" t="n">
        <v>45</v>
      </c>
      <c r="F56" t="inlineStr">
        <is>
          <t>Estimare – de verificat</t>
        </is>
      </c>
    </row>
    <row r="57">
      <c r="A57" t="inlineStr">
        <is>
          <t>O07</t>
        </is>
      </c>
      <c r="B57" t="inlineStr">
        <is>
          <t>Vopsitor / tâmplar finisaje lemn</t>
        </is>
      </c>
      <c r="C57" t="inlineStr">
        <is>
          <t>ore</t>
        </is>
      </c>
      <c r="D57" t="inlineStr">
        <is>
          <t>Manopera</t>
        </is>
      </c>
      <c r="E57" s="16" t="n">
        <v>35</v>
      </c>
      <c r="F57" t="inlineStr">
        <is>
          <t>Estimare – de verificat</t>
        </is>
      </c>
    </row>
    <row r="58">
      <c r="A58" t="inlineStr">
        <is>
          <t>U01</t>
        </is>
      </c>
      <c r="B58" t="inlineStr">
        <is>
          <t>Fierăstrău circular electric</t>
        </is>
      </c>
      <c r="C58" t="inlineStr">
        <is>
          <t>ore</t>
        </is>
      </c>
      <c r="D58" t="inlineStr">
        <is>
          <t>Utilaj</t>
        </is>
      </c>
      <c r="E58" s="16" t="n">
        <v>10</v>
      </c>
      <c r="F58" t="inlineStr">
        <is>
          <t>Tarif BILZI (Onești)</t>
        </is>
      </c>
    </row>
    <row r="59">
      <c r="A59" t="inlineStr">
        <is>
          <t>U02</t>
        </is>
      </c>
      <c r="B59" t="inlineStr">
        <is>
          <t>Mașină de înșurubat / găurit electrică</t>
        </is>
      </c>
      <c r="C59" t="inlineStr">
        <is>
          <t>ore</t>
        </is>
      </c>
      <c r="D59" t="inlineStr">
        <is>
          <t>Utilaj</t>
        </is>
      </c>
      <c r="E59" s="16" t="n">
        <v>8</v>
      </c>
      <c r="F59" t="inlineStr">
        <is>
          <t>Tarif BILZI (Onești)</t>
        </is>
      </c>
    </row>
    <row r="60">
      <c r="A60" t="inlineStr">
        <is>
          <t>U03</t>
        </is>
      </c>
      <c r="B60" t="inlineStr">
        <is>
          <t>Echipament de curățare cu laser (închiriere, cu consumabile)</t>
        </is>
      </c>
      <c r="C60" t="inlineStr">
        <is>
          <t>ore</t>
        </is>
      </c>
      <c r="D60" t="inlineStr">
        <is>
          <t>Utilaj</t>
        </is>
      </c>
      <c r="E60" s="16" t="n">
        <v>180</v>
      </c>
      <c r="F60" t="inlineStr">
        <is>
          <t>Estimare – de verificat</t>
        </is>
      </c>
    </row>
    <row r="61">
      <c r="A61" t="inlineStr">
        <is>
          <t>T01</t>
        </is>
      </c>
      <c r="B61" t="inlineStr">
        <is>
          <t>Transport rutier materiale cu autocamionul</t>
        </is>
      </c>
      <c r="C61" t="inlineStr">
        <is>
          <t>t·km</t>
        </is>
      </c>
      <c r="D61" t="inlineStr">
        <is>
          <t>Transport</t>
        </is>
      </c>
      <c r="E61" s="16" t="n">
        <v>3</v>
      </c>
      <c r="F61" t="inlineStr">
        <is>
          <t>Tarif BILZI (Onești)</t>
        </is>
      </c>
    </row>
    <row r="62">
      <c r="A62" t="inlineStr">
        <is>
          <t>T02</t>
        </is>
      </c>
      <c r="B62" t="inlineStr">
        <is>
          <t>Container moloz 7 mc (închiriere, transport și eliminare)</t>
        </is>
      </c>
      <c r="C62" t="inlineStr">
        <is>
          <t>buc</t>
        </is>
      </c>
      <c r="D62" t="inlineStr">
        <is>
          <t>Transport</t>
        </is>
      </c>
      <c r="E62" s="16" t="n">
        <v>1800</v>
      </c>
      <c r="F62" t="inlineStr">
        <is>
          <t>Reciclero 2.281 lei (7 zile, cu tratarea deșeurilor) / Moloz24 de la 400 lei – medie rotunjită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9" customWidth="1" min="3" max="3"/>
    <col width="45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1" customWidth="1" min="11" max="11"/>
    <col width="20" customWidth="1" min="12" max="12"/>
  </cols>
  <sheetData>
    <row r="1">
      <c r="A1" s="1" t="inlineStr">
        <is>
          <t>Analiza de preț pe articole – consumuri de resurse pe unitatea de măsură a articolului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 art.</t>
        </is>
      </c>
      <c r="B6" s="3" t="inlineStr">
        <is>
          <t>Articol</t>
        </is>
      </c>
      <c r="C6" s="3" t="inlineStr">
        <is>
          <t>Cod resursă</t>
        </is>
      </c>
      <c r="D6" s="3" t="inlineStr">
        <is>
          <t>Resursă</t>
        </is>
      </c>
      <c r="E6" s="3" t="inlineStr">
        <is>
          <t>UM</t>
        </is>
      </c>
      <c r="F6" s="3" t="inlineStr">
        <is>
          <t>Consum / UM articol</t>
        </is>
      </c>
      <c r="G6" s="3" t="inlineStr">
        <is>
          <t>Cantitate articol</t>
        </is>
      </c>
      <c r="H6" s="3" t="inlineStr">
        <is>
          <t>Consum total</t>
        </is>
      </c>
      <c r="I6" s="3" t="inlineStr">
        <is>
          <t>Preț unitar resursă (lei)</t>
        </is>
      </c>
      <c r="J6" s="3" t="inlineStr">
        <is>
          <t>Valoare / UM articol</t>
        </is>
      </c>
      <c r="K6" s="3" t="inlineStr">
        <is>
          <t>Categorie</t>
        </is>
      </c>
      <c r="L6" s="3" t="inlineStr">
        <is>
          <t>Observații</t>
        </is>
      </c>
    </row>
    <row r="7">
      <c r="A7">
        <f>F3!A8</f>
        <v/>
      </c>
      <c r="B7">
        <f>F3!C8</f>
        <v/>
      </c>
      <c r="C7" t="inlineStr">
        <is>
          <t>O02</t>
        </is>
      </c>
      <c r="D7">
        <f>Resurse!B53</f>
        <v/>
      </c>
      <c r="E7">
        <f>Resurse!C53</f>
        <v/>
      </c>
      <c r="F7" s="17" t="n">
        <v>0.08329</v>
      </c>
      <c r="G7" s="6">
        <f>F3!E8</f>
        <v/>
      </c>
      <c r="H7" s="6">
        <f>F7*G7</f>
        <v/>
      </c>
      <c r="I7" s="7">
        <f>Resurse!E53</f>
        <v/>
      </c>
      <c r="J7" s="7">
        <f>F7*I7</f>
        <v/>
      </c>
      <c r="K7">
        <f>Resurse!D53</f>
        <v/>
      </c>
    </row>
    <row r="8">
      <c r="A8">
        <f>F3!A8</f>
        <v/>
      </c>
      <c r="B8">
        <f>F3!C8</f>
        <v/>
      </c>
      <c r="C8" t="inlineStr">
        <is>
          <t>O03</t>
        </is>
      </c>
      <c r="D8">
        <f>Resurse!B54</f>
        <v/>
      </c>
      <c r="E8">
        <f>Resurse!C54</f>
        <v/>
      </c>
      <c r="F8" s="17" t="n">
        <v>0.22437</v>
      </c>
      <c r="G8" s="6">
        <f>F3!E8</f>
        <v/>
      </c>
      <c r="H8" s="6">
        <f>F8*G8</f>
        <v/>
      </c>
      <c r="I8" s="7">
        <f>Resurse!E54</f>
        <v/>
      </c>
      <c r="J8" s="7">
        <f>F8*I8</f>
        <v/>
      </c>
      <c r="K8">
        <f>Resurse!D54</f>
        <v/>
      </c>
    </row>
    <row r="9">
      <c r="A9">
        <f>F3!A9</f>
        <v/>
      </c>
      <c r="B9">
        <f>F3!C9</f>
        <v/>
      </c>
      <c r="C9" t="inlineStr">
        <is>
          <t>O02</t>
        </is>
      </c>
      <c r="D9">
        <f>Resurse!B53</f>
        <v/>
      </c>
      <c r="E9">
        <f>Resurse!C53</f>
        <v/>
      </c>
      <c r="F9" s="17" t="n">
        <v>0.04997</v>
      </c>
      <c r="G9" s="6">
        <f>F3!E9</f>
        <v/>
      </c>
      <c r="H9" s="6">
        <f>F9*G9</f>
        <v/>
      </c>
      <c r="I9" s="7">
        <f>Resurse!E53</f>
        <v/>
      </c>
      <c r="J9" s="7">
        <f>F9*I9</f>
        <v/>
      </c>
      <c r="K9">
        <f>Resurse!D53</f>
        <v/>
      </c>
    </row>
    <row r="10">
      <c r="A10">
        <f>F3!A9</f>
        <v/>
      </c>
      <c r="B10">
        <f>F3!C9</f>
        <v/>
      </c>
      <c r="C10" t="inlineStr">
        <is>
          <t>O03</t>
        </is>
      </c>
      <c r="D10">
        <f>Resurse!B54</f>
        <v/>
      </c>
      <c r="E10">
        <f>Resurse!C54</f>
        <v/>
      </c>
      <c r="F10" s="17" t="n">
        <v>0.06411</v>
      </c>
      <c r="G10" s="6">
        <f>F3!E9</f>
        <v/>
      </c>
      <c r="H10" s="6">
        <f>F10*G10</f>
        <v/>
      </c>
      <c r="I10" s="7">
        <f>Resurse!E54</f>
        <v/>
      </c>
      <c r="J10" s="7">
        <f>F10*I10</f>
        <v/>
      </c>
      <c r="K10">
        <f>Resurse!D54</f>
        <v/>
      </c>
    </row>
    <row r="11">
      <c r="A11">
        <f>F3!A10</f>
        <v/>
      </c>
      <c r="B11">
        <f>F3!C10</f>
        <v/>
      </c>
      <c r="C11" t="inlineStr">
        <is>
          <t>O05</t>
        </is>
      </c>
      <c r="D11">
        <f>Resurse!B56</f>
        <v/>
      </c>
      <c r="E11">
        <f>Resurse!C56</f>
        <v/>
      </c>
      <c r="F11" s="17" t="n">
        <v>3.31034</v>
      </c>
      <c r="G11" s="6">
        <f>F3!E10</f>
        <v/>
      </c>
      <c r="H11" s="6">
        <f>F11*G11</f>
        <v/>
      </c>
      <c r="I11" s="7">
        <f>Resurse!E56</f>
        <v/>
      </c>
      <c r="J11" s="7">
        <f>F11*I11</f>
        <v/>
      </c>
      <c r="K11">
        <f>Resurse!D56</f>
        <v/>
      </c>
    </row>
    <row r="12">
      <c r="A12">
        <f>F3!A10</f>
        <v/>
      </c>
      <c r="B12">
        <f>F3!C10</f>
        <v/>
      </c>
      <c r="C12" t="inlineStr">
        <is>
          <t>O03</t>
        </is>
      </c>
      <c r="D12">
        <f>Resurse!B54</f>
        <v/>
      </c>
      <c r="E12">
        <f>Resurse!C54</f>
        <v/>
      </c>
      <c r="F12" s="17" t="n">
        <v>3.84638</v>
      </c>
      <c r="G12" s="6">
        <f>F3!E10</f>
        <v/>
      </c>
      <c r="H12" s="6">
        <f>F12*G12</f>
        <v/>
      </c>
      <c r="I12" s="7">
        <f>Resurse!E54</f>
        <v/>
      </c>
      <c r="J12" s="7">
        <f>F12*I12</f>
        <v/>
      </c>
      <c r="K12">
        <f>Resurse!D54</f>
        <v/>
      </c>
    </row>
    <row r="13">
      <c r="A13">
        <f>F3!A11</f>
        <v/>
      </c>
      <c r="B13">
        <f>F3!C11</f>
        <v/>
      </c>
      <c r="C13" t="inlineStr">
        <is>
          <t>O02</t>
        </is>
      </c>
      <c r="D13">
        <f>Resurse!B53</f>
        <v/>
      </c>
      <c r="E13">
        <f>Resurse!C53</f>
        <v/>
      </c>
      <c r="F13" s="17" t="n">
        <v>0.49971</v>
      </c>
      <c r="G13" s="6">
        <f>F3!E11</f>
        <v/>
      </c>
      <c r="H13" s="6">
        <f>F13*G13</f>
        <v/>
      </c>
      <c r="I13" s="7">
        <f>Resurse!E53</f>
        <v/>
      </c>
      <c r="J13" s="7">
        <f>F13*I13</f>
        <v/>
      </c>
      <c r="K13">
        <f>Resurse!D53</f>
        <v/>
      </c>
    </row>
    <row r="14">
      <c r="A14">
        <f>F3!A11</f>
        <v/>
      </c>
      <c r="B14">
        <f>F3!C11</f>
        <v/>
      </c>
      <c r="C14" t="inlineStr">
        <is>
          <t>O03</t>
        </is>
      </c>
      <c r="D14">
        <f>Resurse!B54</f>
        <v/>
      </c>
      <c r="E14">
        <f>Resurse!C54</f>
        <v/>
      </c>
      <c r="F14" s="17" t="n">
        <v>0.64106</v>
      </c>
      <c r="G14" s="6">
        <f>F3!E11</f>
        <v/>
      </c>
      <c r="H14" s="6">
        <f>F14*G14</f>
        <v/>
      </c>
      <c r="I14" s="7">
        <f>Resurse!E54</f>
        <v/>
      </c>
      <c r="J14" s="7">
        <f>F14*I14</f>
        <v/>
      </c>
      <c r="K14">
        <f>Resurse!D54</f>
        <v/>
      </c>
    </row>
    <row r="15">
      <c r="A15">
        <f>F3!A12</f>
        <v/>
      </c>
      <c r="B15">
        <f>F3!C12</f>
        <v/>
      </c>
      <c r="C15" t="inlineStr">
        <is>
          <t>O04</t>
        </is>
      </c>
      <c r="D15">
        <f>Resurse!B55</f>
        <v/>
      </c>
      <c r="E15">
        <f>Resurse!C55</f>
        <v/>
      </c>
      <c r="F15" s="17" t="n">
        <v>0.16551</v>
      </c>
      <c r="G15" s="6">
        <f>F3!E12</f>
        <v/>
      </c>
      <c r="H15" s="6">
        <f>F15*G15</f>
        <v/>
      </c>
      <c r="I15" s="7">
        <f>Resurse!E55</f>
        <v/>
      </c>
      <c r="J15" s="7">
        <f>F15*I15</f>
        <v/>
      </c>
      <c r="K15">
        <f>Resurse!D55</f>
        <v/>
      </c>
    </row>
    <row r="16">
      <c r="A16">
        <f>F3!A12</f>
        <v/>
      </c>
      <c r="B16">
        <f>F3!C12</f>
        <v/>
      </c>
      <c r="C16" t="inlineStr">
        <is>
          <t>O03</t>
        </is>
      </c>
      <c r="D16">
        <f>Resurse!B54</f>
        <v/>
      </c>
      <c r="E16">
        <f>Resurse!C54</f>
        <v/>
      </c>
      <c r="F16" s="17" t="n">
        <v>0.38464</v>
      </c>
      <c r="G16" s="6">
        <f>F3!E12</f>
        <v/>
      </c>
      <c r="H16" s="6">
        <f>F16*G16</f>
        <v/>
      </c>
      <c r="I16" s="7">
        <f>Resurse!E54</f>
        <v/>
      </c>
      <c r="J16" s="7">
        <f>F16*I16</f>
        <v/>
      </c>
      <c r="K16">
        <f>Resurse!D54</f>
        <v/>
      </c>
    </row>
    <row r="17">
      <c r="A17">
        <f>F3!A13</f>
        <v/>
      </c>
      <c r="B17">
        <f>F3!C13</f>
        <v/>
      </c>
      <c r="C17" t="inlineStr">
        <is>
          <t>O01</t>
        </is>
      </c>
      <c r="D17">
        <f>Resurse!B52</f>
        <v/>
      </c>
      <c r="E17">
        <f>Resurse!C52</f>
        <v/>
      </c>
      <c r="F17" s="17" t="n">
        <v>0.09994</v>
      </c>
      <c r="G17" s="6">
        <f>F3!E13</f>
        <v/>
      </c>
      <c r="H17" s="6">
        <f>F17*G17</f>
        <v/>
      </c>
      <c r="I17" s="7">
        <f>Resurse!E52</f>
        <v/>
      </c>
      <c r="J17" s="7">
        <f>F17*I17</f>
        <v/>
      </c>
      <c r="K17">
        <f>Resurse!D52</f>
        <v/>
      </c>
    </row>
    <row r="18">
      <c r="A18">
        <f>F3!A13</f>
        <v/>
      </c>
      <c r="B18">
        <f>F3!C13</f>
        <v/>
      </c>
      <c r="C18" t="inlineStr">
        <is>
          <t>O03</t>
        </is>
      </c>
      <c r="D18">
        <f>Resurse!B54</f>
        <v/>
      </c>
      <c r="E18">
        <f>Resurse!C54</f>
        <v/>
      </c>
      <c r="F18" s="17" t="n">
        <v>0.12821</v>
      </c>
      <c r="G18" s="6">
        <f>F3!E13</f>
        <v/>
      </c>
      <c r="H18" s="6">
        <f>F18*G18</f>
        <v/>
      </c>
      <c r="I18" s="7">
        <f>Resurse!E54</f>
        <v/>
      </c>
      <c r="J18" s="7">
        <f>F18*I18</f>
        <v/>
      </c>
      <c r="K18">
        <f>Resurse!D54</f>
        <v/>
      </c>
    </row>
    <row r="19">
      <c r="A19">
        <f>F3!A14</f>
        <v/>
      </c>
      <c r="B19">
        <f>F3!C14</f>
        <v/>
      </c>
      <c r="C19" t="inlineStr">
        <is>
          <t>O01</t>
        </is>
      </c>
      <c r="D19">
        <f>Resurse!B52</f>
        <v/>
      </c>
      <c r="E19">
        <f>Resurse!C52</f>
        <v/>
      </c>
      <c r="F19" s="17" t="n">
        <v>0.08329</v>
      </c>
      <c r="G19" s="6">
        <f>F3!E14</f>
        <v/>
      </c>
      <c r="H19" s="6">
        <f>F19*G19</f>
        <v/>
      </c>
      <c r="I19" s="7">
        <f>Resurse!E52</f>
        <v/>
      </c>
      <c r="J19" s="7">
        <f>F19*I19</f>
        <v/>
      </c>
      <c r="K19">
        <f>Resurse!D52</f>
        <v/>
      </c>
    </row>
    <row r="20">
      <c r="A20">
        <f>F3!A14</f>
        <v/>
      </c>
      <c r="B20">
        <f>F3!C14</f>
        <v/>
      </c>
      <c r="C20" t="inlineStr">
        <is>
          <t>O03</t>
        </is>
      </c>
      <c r="D20">
        <f>Resurse!B54</f>
        <v/>
      </c>
      <c r="E20">
        <f>Resurse!C54</f>
        <v/>
      </c>
      <c r="F20" s="17" t="n">
        <v>0.12821</v>
      </c>
      <c r="G20" s="6">
        <f>F3!E14</f>
        <v/>
      </c>
      <c r="H20" s="6">
        <f>F20*G20</f>
        <v/>
      </c>
      <c r="I20" s="7">
        <f>Resurse!E54</f>
        <v/>
      </c>
      <c r="J20" s="7">
        <f>F20*I20</f>
        <v/>
      </c>
      <c r="K20">
        <f>Resurse!D54</f>
        <v/>
      </c>
    </row>
    <row r="21">
      <c r="A21">
        <f>F3!A14</f>
        <v/>
      </c>
      <c r="B21">
        <f>F3!C14</f>
        <v/>
      </c>
      <c r="C21" t="inlineStr">
        <is>
          <t>T02</t>
        </is>
      </c>
      <c r="D21">
        <f>Resurse!B62</f>
        <v/>
      </c>
      <c r="E21">
        <f>Resurse!C62</f>
        <v/>
      </c>
      <c r="F21" s="17" t="n">
        <v>0.0045</v>
      </c>
      <c r="G21" s="6">
        <f>F3!E14</f>
        <v/>
      </c>
      <c r="H21" s="6">
        <f>F21*G21</f>
        <v/>
      </c>
      <c r="I21" s="7">
        <f>Resurse!E62</f>
        <v/>
      </c>
      <c r="J21" s="7">
        <f>F21*I21</f>
        <v/>
      </c>
      <c r="K21">
        <f>Resurse!D62</f>
        <v/>
      </c>
    </row>
    <row r="22">
      <c r="A22">
        <f>F3!A15</f>
        <v/>
      </c>
      <c r="B22">
        <f>F3!C15</f>
        <v/>
      </c>
      <c r="C22" t="inlineStr">
        <is>
          <t>O05</t>
        </is>
      </c>
      <c r="D22">
        <f>Resurse!B56</f>
        <v/>
      </c>
      <c r="E22">
        <f>Resurse!C56</f>
        <v/>
      </c>
      <c r="F22" s="17" t="n">
        <v>1.65517</v>
      </c>
      <c r="G22" s="6">
        <f>F3!E15</f>
        <v/>
      </c>
      <c r="H22" s="6">
        <f>F22*G22</f>
        <v/>
      </c>
      <c r="I22" s="7">
        <f>Resurse!E56</f>
        <v/>
      </c>
      <c r="J22" s="7">
        <f>F22*I22</f>
        <v/>
      </c>
      <c r="K22">
        <f>Resurse!D56</f>
        <v/>
      </c>
    </row>
    <row r="23">
      <c r="A23">
        <f>F3!A16</f>
        <v/>
      </c>
      <c r="B23">
        <f>F3!C16</f>
        <v/>
      </c>
      <c r="C23" t="inlineStr">
        <is>
          <t>O03</t>
        </is>
      </c>
      <c r="D23">
        <f>Resurse!B54</f>
        <v/>
      </c>
      <c r="E23">
        <f>Resurse!C54</f>
        <v/>
      </c>
      <c r="F23" s="17" t="n">
        <v>1.0257</v>
      </c>
      <c r="G23" s="6">
        <f>F3!E16</f>
        <v/>
      </c>
      <c r="H23" s="6">
        <f>F23*G23</f>
        <v/>
      </c>
      <c r="I23" s="7">
        <f>Resurse!E54</f>
        <v/>
      </c>
      <c r="J23" s="7">
        <f>F23*I23</f>
        <v/>
      </c>
      <c r="K23">
        <f>Resurse!D54</f>
        <v/>
      </c>
    </row>
    <row r="24">
      <c r="A24">
        <f>F3!A20</f>
        <v/>
      </c>
      <c r="B24">
        <f>F3!C20</f>
        <v/>
      </c>
      <c r="C24" t="inlineStr">
        <is>
          <t>M01</t>
        </is>
      </c>
      <c r="D24">
        <f>Resurse!B7</f>
        <v/>
      </c>
      <c r="E24">
        <f>Resurse!C7</f>
        <v/>
      </c>
      <c r="F24" s="17" t="n">
        <v>1.1</v>
      </c>
      <c r="G24" s="6">
        <f>F3!E20</f>
        <v/>
      </c>
      <c r="H24" s="6">
        <f>F24*G24</f>
        <v/>
      </c>
      <c r="I24" s="7">
        <f>Resurse!E7</f>
        <v/>
      </c>
      <c r="J24" s="7">
        <f>F24*I24</f>
        <v/>
      </c>
      <c r="K24">
        <f>Resurse!D7</f>
        <v/>
      </c>
    </row>
    <row r="25">
      <c r="A25">
        <f>F3!A20</f>
        <v/>
      </c>
      <c r="B25">
        <f>F3!C20</f>
        <v/>
      </c>
      <c r="C25" t="inlineStr">
        <is>
          <t>M04</t>
        </is>
      </c>
      <c r="D25">
        <f>Resurse!B10</f>
        <v/>
      </c>
      <c r="E25">
        <f>Resurse!C10</f>
        <v/>
      </c>
      <c r="F25" s="17" t="n">
        <v>25</v>
      </c>
      <c r="G25" s="6">
        <f>F3!E20</f>
        <v/>
      </c>
      <c r="H25" s="6">
        <f>F25*G25</f>
        <v/>
      </c>
      <c r="I25" s="7">
        <f>Resurse!E10</f>
        <v/>
      </c>
      <c r="J25" s="7">
        <f>F25*I25</f>
        <v/>
      </c>
      <c r="K25">
        <f>Resurse!D10</f>
        <v/>
      </c>
    </row>
    <row r="26">
      <c r="A26">
        <f>F3!A20</f>
        <v/>
      </c>
      <c r="B26">
        <f>F3!C20</f>
        <v/>
      </c>
      <c r="C26" t="inlineStr">
        <is>
          <t>M50</t>
        </is>
      </c>
      <c r="D26">
        <f>Resurse!B34</f>
        <v/>
      </c>
      <c r="E26">
        <f>Resurse!C34</f>
        <v/>
      </c>
      <c r="F26" s="17" t="n">
        <v>3</v>
      </c>
      <c r="G26" s="6">
        <f>F3!E20</f>
        <v/>
      </c>
      <c r="H26" s="6">
        <f>F26*G26</f>
        <v/>
      </c>
      <c r="I26" s="7">
        <f>Resurse!E34</f>
        <v/>
      </c>
      <c r="J26" s="7">
        <f>F26*I26</f>
        <v/>
      </c>
      <c r="K26">
        <f>Resurse!D34</f>
        <v/>
      </c>
    </row>
    <row r="27">
      <c r="A27">
        <f>F3!A20</f>
        <v/>
      </c>
      <c r="B27">
        <f>F3!C20</f>
        <v/>
      </c>
      <c r="C27" t="inlineStr">
        <is>
          <t>O01</t>
        </is>
      </c>
      <c r="D27">
        <f>Resurse!B52</f>
        <v/>
      </c>
      <c r="E27">
        <f>Resurse!C52</f>
        <v/>
      </c>
      <c r="F27" s="17" t="n">
        <v>7.32913</v>
      </c>
      <c r="G27" s="6">
        <f>F3!E20</f>
        <v/>
      </c>
      <c r="H27" s="6">
        <f>F27*G27</f>
        <v/>
      </c>
      <c r="I27" s="7">
        <f>Resurse!E52</f>
        <v/>
      </c>
      <c r="J27" s="7">
        <f>F27*I27</f>
        <v/>
      </c>
      <c r="K27">
        <f>Resurse!D52</f>
        <v/>
      </c>
    </row>
    <row r="28">
      <c r="A28">
        <f>F3!A20</f>
        <v/>
      </c>
      <c r="B28">
        <f>F3!C20</f>
        <v/>
      </c>
      <c r="C28" t="inlineStr">
        <is>
          <t>O03</t>
        </is>
      </c>
      <c r="D28">
        <f>Resurse!B54</f>
        <v/>
      </c>
      <c r="E28">
        <f>Resurse!C54</f>
        <v/>
      </c>
      <c r="F28" s="17" t="n">
        <v>3.84638</v>
      </c>
      <c r="G28" s="6">
        <f>F3!E20</f>
        <v/>
      </c>
      <c r="H28" s="6">
        <f>F28*G28</f>
        <v/>
      </c>
      <c r="I28" s="7">
        <f>Resurse!E54</f>
        <v/>
      </c>
      <c r="J28" s="7">
        <f>F28*I28</f>
        <v/>
      </c>
      <c r="K28">
        <f>Resurse!D54</f>
        <v/>
      </c>
    </row>
    <row r="29">
      <c r="A29">
        <f>F3!A20</f>
        <v/>
      </c>
      <c r="B29">
        <f>F3!C20</f>
        <v/>
      </c>
      <c r="C29" t="inlineStr">
        <is>
          <t>U01</t>
        </is>
      </c>
      <c r="D29">
        <f>Resurse!B58</f>
        <v/>
      </c>
      <c r="E29">
        <f>Resurse!C58</f>
        <v/>
      </c>
      <c r="F29" s="17" t="n">
        <v>2</v>
      </c>
      <c r="G29" s="6">
        <f>F3!E20</f>
        <v/>
      </c>
      <c r="H29" s="6">
        <f>F29*G29</f>
        <v/>
      </c>
      <c r="I29" s="7">
        <f>Resurse!E58</f>
        <v/>
      </c>
      <c r="J29" s="7">
        <f>F29*I29</f>
        <v/>
      </c>
      <c r="K29">
        <f>Resurse!D58</f>
        <v/>
      </c>
    </row>
    <row r="30">
      <c r="A30">
        <f>F3!A21</f>
        <v/>
      </c>
      <c r="B30">
        <f>F3!C21</f>
        <v/>
      </c>
      <c r="C30" t="inlineStr">
        <is>
          <t>M01</t>
        </is>
      </c>
      <c r="D30">
        <f>Resurse!B7</f>
        <v/>
      </c>
      <c r="E30">
        <f>Resurse!C7</f>
        <v/>
      </c>
      <c r="F30" s="17" t="n">
        <v>0.08</v>
      </c>
      <c r="G30" s="6">
        <f>F3!E21</f>
        <v/>
      </c>
      <c r="H30" s="6">
        <f>F30*G30</f>
        <v/>
      </c>
      <c r="I30" s="7">
        <f>Resurse!E7</f>
        <v/>
      </c>
      <c r="J30" s="7">
        <f>F30*I30</f>
        <v/>
      </c>
      <c r="K30">
        <f>Resurse!D7</f>
        <v/>
      </c>
    </row>
    <row r="31">
      <c r="A31">
        <f>F3!A21</f>
        <v/>
      </c>
      <c r="B31">
        <f>F3!C21</f>
        <v/>
      </c>
      <c r="C31" t="inlineStr">
        <is>
          <t>M04</t>
        </is>
      </c>
      <c r="D31">
        <f>Resurse!B10</f>
        <v/>
      </c>
      <c r="E31">
        <f>Resurse!C10</f>
        <v/>
      </c>
      <c r="F31" s="17" t="n">
        <v>3</v>
      </c>
      <c r="G31" s="6">
        <f>F3!E21</f>
        <v/>
      </c>
      <c r="H31" s="6">
        <f>F31*G31</f>
        <v/>
      </c>
      <c r="I31" s="7">
        <f>Resurse!E10</f>
        <v/>
      </c>
      <c r="J31" s="7">
        <f>F31*I31</f>
        <v/>
      </c>
      <c r="K31">
        <f>Resurse!D10</f>
        <v/>
      </c>
    </row>
    <row r="32">
      <c r="A32">
        <f>F3!A21</f>
        <v/>
      </c>
      <c r="B32">
        <f>F3!C21</f>
        <v/>
      </c>
      <c r="C32" t="inlineStr">
        <is>
          <t>M50</t>
        </is>
      </c>
      <c r="D32">
        <f>Resurse!B34</f>
        <v/>
      </c>
      <c r="E32">
        <f>Resurse!C34</f>
        <v/>
      </c>
      <c r="F32" s="17" t="n">
        <v>1</v>
      </c>
      <c r="G32" s="6">
        <f>F3!E21</f>
        <v/>
      </c>
      <c r="H32" s="6">
        <f>F32*G32</f>
        <v/>
      </c>
      <c r="I32" s="7">
        <f>Resurse!E34</f>
        <v/>
      </c>
      <c r="J32" s="7">
        <f>F32*I32</f>
        <v/>
      </c>
      <c r="K32">
        <f>Resurse!D34</f>
        <v/>
      </c>
    </row>
    <row r="33">
      <c r="A33">
        <f>F3!A21</f>
        <v/>
      </c>
      <c r="B33">
        <f>F3!C21</f>
        <v/>
      </c>
      <c r="C33" t="inlineStr">
        <is>
          <t>M51</t>
        </is>
      </c>
      <c r="D33">
        <f>Resurse!B35</f>
        <v/>
      </c>
      <c r="E33">
        <f>Resurse!C35</f>
        <v/>
      </c>
      <c r="F33" s="17" t="n">
        <v>1</v>
      </c>
      <c r="G33" s="6">
        <f>F3!E21</f>
        <v/>
      </c>
      <c r="H33" s="6">
        <f>F33*G33</f>
        <v/>
      </c>
      <c r="I33" s="7">
        <f>Resurse!E35</f>
        <v/>
      </c>
      <c r="J33" s="7">
        <f>F33*I33</f>
        <v/>
      </c>
      <c r="K33">
        <f>Resurse!D35</f>
        <v/>
      </c>
    </row>
    <row r="34">
      <c r="A34">
        <f>F3!A21</f>
        <v/>
      </c>
      <c r="B34">
        <f>F3!C21</f>
        <v/>
      </c>
      <c r="C34" t="inlineStr">
        <is>
          <t>O01</t>
        </is>
      </c>
      <c r="D34">
        <f>Resurse!B52</f>
        <v/>
      </c>
      <c r="E34">
        <f>Resurse!C52</f>
        <v/>
      </c>
      <c r="F34" s="17" t="n">
        <v>3.99771</v>
      </c>
      <c r="G34" s="6">
        <f>F3!E21</f>
        <v/>
      </c>
      <c r="H34" s="6">
        <f>F34*G34</f>
        <v/>
      </c>
      <c r="I34" s="7">
        <f>Resurse!E52</f>
        <v/>
      </c>
      <c r="J34" s="7">
        <f>F34*I34</f>
        <v/>
      </c>
      <c r="K34">
        <f>Resurse!D52</f>
        <v/>
      </c>
    </row>
    <row r="35">
      <c r="A35">
        <f>F3!A21</f>
        <v/>
      </c>
      <c r="B35">
        <f>F3!C21</f>
        <v/>
      </c>
      <c r="C35" t="inlineStr">
        <is>
          <t>O03</t>
        </is>
      </c>
      <c r="D35">
        <f>Resurse!B54</f>
        <v/>
      </c>
      <c r="E35">
        <f>Resurse!C54</f>
        <v/>
      </c>
      <c r="F35" s="17" t="n">
        <v>1.92319</v>
      </c>
      <c r="G35" s="6">
        <f>F3!E21</f>
        <v/>
      </c>
      <c r="H35" s="6">
        <f>F35*G35</f>
        <v/>
      </c>
      <c r="I35" s="7">
        <f>Resurse!E54</f>
        <v/>
      </c>
      <c r="J35" s="7">
        <f>F35*I35</f>
        <v/>
      </c>
      <c r="K35">
        <f>Resurse!D54</f>
        <v/>
      </c>
    </row>
    <row r="36">
      <c r="A36">
        <f>F3!A21</f>
        <v/>
      </c>
      <c r="B36">
        <f>F3!C21</f>
        <v/>
      </c>
      <c r="C36" t="inlineStr">
        <is>
          <t>U01</t>
        </is>
      </c>
      <c r="D36">
        <f>Resurse!B58</f>
        <v/>
      </c>
      <c r="E36">
        <f>Resurse!C58</f>
        <v/>
      </c>
      <c r="F36" s="17" t="n">
        <v>1</v>
      </c>
      <c r="G36" s="6">
        <f>F3!E21</f>
        <v/>
      </c>
      <c r="H36" s="6">
        <f>F36*G36</f>
        <v/>
      </c>
      <c r="I36" s="7">
        <f>Resurse!E58</f>
        <v/>
      </c>
      <c r="J36" s="7">
        <f>F36*I36</f>
        <v/>
      </c>
      <c r="K36">
        <f>Resurse!D58</f>
        <v/>
      </c>
    </row>
    <row r="37">
      <c r="A37">
        <f>F3!A22</f>
        <v/>
      </c>
      <c r="B37">
        <f>F3!C22</f>
        <v/>
      </c>
      <c r="C37" t="inlineStr">
        <is>
          <t>U03</t>
        </is>
      </c>
      <c r="D37">
        <f>Resurse!B60</f>
        <v/>
      </c>
      <c r="E37">
        <f>Resurse!C60</f>
        <v/>
      </c>
      <c r="F37" s="17" t="n">
        <v>0.18</v>
      </c>
      <c r="G37" s="6">
        <f>F3!E22</f>
        <v/>
      </c>
      <c r="H37" s="6">
        <f>F37*G37</f>
        <v/>
      </c>
      <c r="I37" s="7">
        <f>Resurse!E60</f>
        <v/>
      </c>
      <c r="J37" s="7">
        <f>F37*I37</f>
        <v/>
      </c>
      <c r="K37">
        <f>Resurse!D60</f>
        <v/>
      </c>
    </row>
    <row r="38">
      <c r="A38">
        <f>F3!A22</f>
        <v/>
      </c>
      <c r="B38">
        <f>F3!C22</f>
        <v/>
      </c>
      <c r="C38" t="inlineStr">
        <is>
          <t>O07</t>
        </is>
      </c>
      <c r="D38">
        <f>Resurse!B57</f>
        <v/>
      </c>
      <c r="E38">
        <f>Resurse!C57</f>
        <v/>
      </c>
      <c r="F38" s="17" t="n">
        <v>0.236</v>
      </c>
      <c r="G38" s="6">
        <f>F3!E22</f>
        <v/>
      </c>
      <c r="H38" s="6">
        <f>F38*G38</f>
        <v/>
      </c>
      <c r="I38" s="7">
        <f>Resurse!E57</f>
        <v/>
      </c>
      <c r="J38" s="7">
        <f>F38*I38</f>
        <v/>
      </c>
      <c r="K38">
        <f>Resurse!D57</f>
        <v/>
      </c>
    </row>
    <row r="39">
      <c r="A39">
        <f>F3!A22</f>
        <v/>
      </c>
      <c r="B39">
        <f>F3!C22</f>
        <v/>
      </c>
      <c r="C39" t="inlineStr">
        <is>
          <t>M56</t>
        </is>
      </c>
      <c r="D39">
        <f>Resurse!B40</f>
        <v/>
      </c>
      <c r="E39">
        <f>Resurse!C40</f>
        <v/>
      </c>
      <c r="F39" s="17" t="n">
        <v>0.01</v>
      </c>
      <c r="G39" s="6">
        <f>F3!E22</f>
        <v/>
      </c>
      <c r="H39" s="6">
        <f>F39*G39</f>
        <v/>
      </c>
      <c r="I39" s="7">
        <f>Resurse!E40</f>
        <v/>
      </c>
      <c r="J39" s="7">
        <f>F39*I39</f>
        <v/>
      </c>
      <c r="K39">
        <f>Resurse!D40</f>
        <v/>
      </c>
    </row>
    <row r="40">
      <c r="A40">
        <f>F3!A23</f>
        <v/>
      </c>
      <c r="B40">
        <f>F3!C23</f>
        <v/>
      </c>
      <c r="C40" t="inlineStr">
        <is>
          <t>M52</t>
        </is>
      </c>
      <c r="D40">
        <f>Resurse!B36</f>
        <v/>
      </c>
      <c r="E40">
        <f>Resurse!C36</f>
        <v/>
      </c>
      <c r="F40" s="17" t="n">
        <v>0.3</v>
      </c>
      <c r="G40" s="6">
        <f>F3!E23</f>
        <v/>
      </c>
      <c r="H40" s="6">
        <f>F40*G40</f>
        <v/>
      </c>
      <c r="I40" s="7">
        <f>Resurse!E36</f>
        <v/>
      </c>
      <c r="J40" s="7">
        <f>F40*I40</f>
        <v/>
      </c>
      <c r="K40">
        <f>Resurse!D36</f>
        <v/>
      </c>
    </row>
    <row r="41">
      <c r="A41">
        <f>F3!A23</f>
        <v/>
      </c>
      <c r="B41">
        <f>F3!C23</f>
        <v/>
      </c>
      <c r="C41" t="inlineStr">
        <is>
          <t>M53</t>
        </is>
      </c>
      <c r="D41">
        <f>Resurse!B37</f>
        <v/>
      </c>
      <c r="E41">
        <f>Resurse!C37</f>
        <v/>
      </c>
      <c r="F41" s="17" t="n">
        <v>0.2</v>
      </c>
      <c r="G41" s="6">
        <f>F3!E23</f>
        <v/>
      </c>
      <c r="H41" s="6">
        <f>F41*G41</f>
        <v/>
      </c>
      <c r="I41" s="7">
        <f>Resurse!E37</f>
        <v/>
      </c>
      <c r="J41" s="7">
        <f>F41*I41</f>
        <v/>
      </c>
      <c r="K41">
        <f>Resurse!D37</f>
        <v/>
      </c>
    </row>
    <row r="42">
      <c r="A42">
        <f>F3!A23</f>
        <v/>
      </c>
      <c r="B42">
        <f>F3!C23</f>
        <v/>
      </c>
      <c r="C42" t="inlineStr">
        <is>
          <t>M54</t>
        </is>
      </c>
      <c r="D42">
        <f>Resurse!B38</f>
        <v/>
      </c>
      <c r="E42">
        <f>Resurse!C38</f>
        <v/>
      </c>
      <c r="F42" s="17" t="n">
        <v>0.25</v>
      </c>
      <c r="G42" s="6">
        <f>F3!E23</f>
        <v/>
      </c>
      <c r="H42" s="6">
        <f>F42*G42</f>
        <v/>
      </c>
      <c r="I42" s="7">
        <f>Resurse!E38</f>
        <v/>
      </c>
      <c r="J42" s="7">
        <f>F42*I42</f>
        <v/>
      </c>
      <c r="K42">
        <f>Resurse!D38</f>
        <v/>
      </c>
    </row>
    <row r="43">
      <c r="A43">
        <f>F3!A23</f>
        <v/>
      </c>
      <c r="B43">
        <f>F3!C23</f>
        <v/>
      </c>
      <c r="C43" t="inlineStr">
        <is>
          <t>O07</t>
        </is>
      </c>
      <c r="D43">
        <f>Resurse!B57</f>
        <v/>
      </c>
      <c r="E43">
        <f>Resurse!C57</f>
        <v/>
      </c>
      <c r="F43" s="17" t="n">
        <v>0.9</v>
      </c>
      <c r="G43" s="6">
        <f>F3!E23</f>
        <v/>
      </c>
      <c r="H43" s="6">
        <f>F43*G43</f>
        <v/>
      </c>
      <c r="I43" s="7">
        <f>Resurse!E57</f>
        <v/>
      </c>
      <c r="J43" s="7">
        <f>F43*I43</f>
        <v/>
      </c>
      <c r="K43">
        <f>Resurse!D57</f>
        <v/>
      </c>
    </row>
    <row r="44">
      <c r="A44">
        <f>F3!A27</f>
        <v/>
      </c>
      <c r="B44">
        <f>F3!C27</f>
        <v/>
      </c>
      <c r="C44" t="inlineStr">
        <is>
          <t>M02</t>
        </is>
      </c>
      <c r="D44">
        <f>Resurse!B8</f>
        <v/>
      </c>
      <c r="E44">
        <f>Resurse!C8</f>
        <v/>
      </c>
      <c r="F44" s="17" t="n">
        <v>0.0275</v>
      </c>
      <c r="G44" s="6">
        <f>F3!E27</f>
        <v/>
      </c>
      <c r="H44" s="6">
        <f>F44*G44</f>
        <v/>
      </c>
      <c r="I44" s="7">
        <f>Resurse!E8</f>
        <v/>
      </c>
      <c r="J44" s="7">
        <f>F44*I44</f>
        <v/>
      </c>
      <c r="K44">
        <f>Resurse!D8</f>
        <v/>
      </c>
    </row>
    <row r="45">
      <c r="A45">
        <f>F3!A27</f>
        <v/>
      </c>
      <c r="B45">
        <f>F3!C27</f>
        <v/>
      </c>
      <c r="C45" t="inlineStr">
        <is>
          <t>M05</t>
        </is>
      </c>
      <c r="D45">
        <f>Resurse!B11</f>
        <v/>
      </c>
      <c r="E45">
        <f>Resurse!C11</f>
        <v/>
      </c>
      <c r="F45" s="17" t="n">
        <v>0.1</v>
      </c>
      <c r="G45" s="6">
        <f>F3!E27</f>
        <v/>
      </c>
      <c r="H45" s="6">
        <f>F45*G45</f>
        <v/>
      </c>
      <c r="I45" s="7">
        <f>Resurse!E11</f>
        <v/>
      </c>
      <c r="J45" s="7">
        <f>F45*I45</f>
        <v/>
      </c>
      <c r="K45">
        <f>Resurse!D11</f>
        <v/>
      </c>
    </row>
    <row r="46">
      <c r="A46">
        <f>F3!A27</f>
        <v/>
      </c>
      <c r="B46">
        <f>F3!C27</f>
        <v/>
      </c>
      <c r="C46" t="inlineStr">
        <is>
          <t>M06</t>
        </is>
      </c>
      <c r="D46">
        <f>Resurse!B12</f>
        <v/>
      </c>
      <c r="E46">
        <f>Resurse!C12</f>
        <v/>
      </c>
      <c r="F46" s="17" t="n">
        <v>0.3</v>
      </c>
      <c r="G46" s="6">
        <f>F3!E27</f>
        <v/>
      </c>
      <c r="H46" s="6">
        <f>F46*G46</f>
        <v/>
      </c>
      <c r="I46" s="7">
        <f>Resurse!E12</f>
        <v/>
      </c>
      <c r="J46" s="7">
        <f>F46*I46</f>
        <v/>
      </c>
      <c r="K46">
        <f>Resurse!D12</f>
        <v/>
      </c>
    </row>
    <row r="47">
      <c r="A47">
        <f>F3!A27</f>
        <v/>
      </c>
      <c r="B47">
        <f>F3!C27</f>
        <v/>
      </c>
      <c r="C47" t="inlineStr">
        <is>
          <t>O01</t>
        </is>
      </c>
      <c r="D47">
        <f>Resurse!B52</f>
        <v/>
      </c>
      <c r="E47">
        <f>Resurse!C52</f>
        <v/>
      </c>
      <c r="F47" s="17" t="n">
        <v>0.13326</v>
      </c>
      <c r="G47" s="6">
        <f>F3!E27</f>
        <v/>
      </c>
      <c r="H47" s="6">
        <f>F47*G47</f>
        <v/>
      </c>
      <c r="I47" s="7">
        <f>Resurse!E52</f>
        <v/>
      </c>
      <c r="J47" s="7">
        <f>F47*I47</f>
        <v/>
      </c>
      <c r="K47">
        <f>Resurse!D52</f>
        <v/>
      </c>
    </row>
    <row r="48">
      <c r="A48">
        <f>F3!A27</f>
        <v/>
      </c>
      <c r="B48">
        <f>F3!C27</f>
        <v/>
      </c>
      <c r="C48" t="inlineStr">
        <is>
          <t>O03</t>
        </is>
      </c>
      <c r="D48">
        <f>Resurse!B54</f>
        <v/>
      </c>
      <c r="E48">
        <f>Resurse!C54</f>
        <v/>
      </c>
      <c r="F48" s="17" t="n">
        <v>0.06411</v>
      </c>
      <c r="G48" s="6">
        <f>F3!E27</f>
        <v/>
      </c>
      <c r="H48" s="6">
        <f>F48*G48</f>
        <v/>
      </c>
      <c r="I48" s="7">
        <f>Resurse!E54</f>
        <v/>
      </c>
      <c r="J48" s="7">
        <f>F48*I48</f>
        <v/>
      </c>
      <c r="K48">
        <f>Resurse!D54</f>
        <v/>
      </c>
    </row>
    <row r="49">
      <c r="A49">
        <f>F3!A27</f>
        <v/>
      </c>
      <c r="B49">
        <f>F3!C27</f>
        <v/>
      </c>
      <c r="C49" t="inlineStr">
        <is>
          <t>U01</t>
        </is>
      </c>
      <c r="D49">
        <f>Resurse!B58</f>
        <v/>
      </c>
      <c r="E49">
        <f>Resurse!C58</f>
        <v/>
      </c>
      <c r="F49" s="17" t="n">
        <v>0.03</v>
      </c>
      <c r="G49" s="6">
        <f>F3!E27</f>
        <v/>
      </c>
      <c r="H49" s="6">
        <f>F49*G49</f>
        <v/>
      </c>
      <c r="I49" s="7">
        <f>Resurse!E58</f>
        <v/>
      </c>
      <c r="J49" s="7">
        <f>F49*I49</f>
        <v/>
      </c>
      <c r="K49">
        <f>Resurse!D58</f>
        <v/>
      </c>
    </row>
    <row r="50">
      <c r="A50">
        <f>F3!A27</f>
        <v/>
      </c>
      <c r="B50">
        <f>F3!C27</f>
        <v/>
      </c>
      <c r="C50" t="inlineStr">
        <is>
          <t>T01</t>
        </is>
      </c>
      <c r="D50">
        <f>Resurse!B61</f>
        <v/>
      </c>
      <c r="E50">
        <f>Resurse!C61</f>
        <v/>
      </c>
      <c r="F50" s="17" t="n">
        <v>1</v>
      </c>
      <c r="G50" s="6">
        <f>F3!E27</f>
        <v/>
      </c>
      <c r="H50" s="6">
        <f>F50*G50</f>
        <v/>
      </c>
      <c r="I50" s="7">
        <f>Resurse!E61</f>
        <v/>
      </c>
      <c r="J50" s="7">
        <f>F50*I50</f>
        <v/>
      </c>
      <c r="K50">
        <f>Resurse!D61</f>
        <v/>
      </c>
    </row>
    <row r="51">
      <c r="A51">
        <f>F3!A28</f>
        <v/>
      </c>
      <c r="B51">
        <f>F3!C28</f>
        <v/>
      </c>
      <c r="C51" t="inlineStr">
        <is>
          <t>M03</t>
        </is>
      </c>
      <c r="D51">
        <f>Resurse!B9</f>
        <v/>
      </c>
      <c r="E51">
        <f>Resurse!C9</f>
        <v/>
      </c>
      <c r="F51" s="17" t="n">
        <v>0.0095</v>
      </c>
      <c r="G51" s="6">
        <f>F3!E28</f>
        <v/>
      </c>
      <c r="H51" s="6">
        <f>F51*G51</f>
        <v/>
      </c>
      <c r="I51" s="7">
        <f>Resurse!E9</f>
        <v/>
      </c>
      <c r="J51" s="7">
        <f>F51*I51</f>
        <v/>
      </c>
      <c r="K51">
        <f>Resurse!D9</f>
        <v/>
      </c>
    </row>
    <row r="52">
      <c r="A52">
        <f>F3!A28</f>
        <v/>
      </c>
      <c r="B52">
        <f>F3!C28</f>
        <v/>
      </c>
      <c r="C52" t="inlineStr">
        <is>
          <t>M05</t>
        </is>
      </c>
      <c r="D52">
        <f>Resurse!B11</f>
        <v/>
      </c>
      <c r="E52">
        <f>Resurse!C11</f>
        <v/>
      </c>
      <c r="F52" s="17" t="n">
        <v>0.1</v>
      </c>
      <c r="G52" s="6">
        <f>F3!E28</f>
        <v/>
      </c>
      <c r="H52" s="6">
        <f>F52*G52</f>
        <v/>
      </c>
      <c r="I52" s="7">
        <f>Resurse!E11</f>
        <v/>
      </c>
      <c r="J52" s="7">
        <f>F52*I52</f>
        <v/>
      </c>
      <c r="K52">
        <f>Resurse!D11</f>
        <v/>
      </c>
    </row>
    <row r="53">
      <c r="A53">
        <f>F3!A28</f>
        <v/>
      </c>
      <c r="B53">
        <f>F3!C28</f>
        <v/>
      </c>
      <c r="C53" t="inlineStr">
        <is>
          <t>M06</t>
        </is>
      </c>
      <c r="D53">
        <f>Resurse!B12</f>
        <v/>
      </c>
      <c r="E53">
        <f>Resurse!C12</f>
        <v/>
      </c>
      <c r="F53" s="17" t="n">
        <v>0.1</v>
      </c>
      <c r="G53" s="6">
        <f>F3!E28</f>
        <v/>
      </c>
      <c r="H53" s="6">
        <f>F53*G53</f>
        <v/>
      </c>
      <c r="I53" s="7">
        <f>Resurse!E12</f>
        <v/>
      </c>
      <c r="J53" s="7">
        <f>F53*I53</f>
        <v/>
      </c>
      <c r="K53">
        <f>Resurse!D12</f>
        <v/>
      </c>
    </row>
    <row r="54">
      <c r="A54">
        <f>F3!A28</f>
        <v/>
      </c>
      <c r="B54">
        <f>F3!C28</f>
        <v/>
      </c>
      <c r="C54" t="inlineStr">
        <is>
          <t>O01</t>
        </is>
      </c>
      <c r="D54">
        <f>Resurse!B52</f>
        <v/>
      </c>
      <c r="E54">
        <f>Resurse!C52</f>
        <v/>
      </c>
      <c r="F54" s="17" t="n">
        <v>0.09994</v>
      </c>
      <c r="G54" s="6">
        <f>F3!E28</f>
        <v/>
      </c>
      <c r="H54" s="6">
        <f>F54*G54</f>
        <v/>
      </c>
      <c r="I54" s="7">
        <f>Resurse!E52</f>
        <v/>
      </c>
      <c r="J54" s="7">
        <f>F54*I54</f>
        <v/>
      </c>
      <c r="K54">
        <f>Resurse!D52</f>
        <v/>
      </c>
    </row>
    <row r="55">
      <c r="A55">
        <f>F3!A28</f>
        <v/>
      </c>
      <c r="B55">
        <f>F3!C28</f>
        <v/>
      </c>
      <c r="C55" t="inlineStr">
        <is>
          <t>U01</t>
        </is>
      </c>
      <c r="D55">
        <f>Resurse!B58</f>
        <v/>
      </c>
      <c r="E55">
        <f>Resurse!C58</f>
        <v/>
      </c>
      <c r="F55" s="17" t="n">
        <v>0.02</v>
      </c>
      <c r="G55" s="6">
        <f>F3!E28</f>
        <v/>
      </c>
      <c r="H55" s="6">
        <f>F55*G55</f>
        <v/>
      </c>
      <c r="I55" s="7">
        <f>Resurse!E58</f>
        <v/>
      </c>
      <c r="J55" s="7">
        <f>F55*I55</f>
        <v/>
      </c>
      <c r="K55">
        <f>Resurse!D58</f>
        <v/>
      </c>
    </row>
    <row r="56">
      <c r="A56">
        <f>F3!A28</f>
        <v/>
      </c>
      <c r="B56">
        <f>F3!C28</f>
        <v/>
      </c>
      <c r="C56" t="inlineStr">
        <is>
          <t>T01</t>
        </is>
      </c>
      <c r="D56">
        <f>Resurse!B61</f>
        <v/>
      </c>
      <c r="E56">
        <f>Resurse!C61</f>
        <v/>
      </c>
      <c r="F56" s="17" t="n">
        <v>0.4</v>
      </c>
      <c r="G56" s="6">
        <f>F3!E28</f>
        <v/>
      </c>
      <c r="H56" s="6">
        <f>F56*G56</f>
        <v/>
      </c>
      <c r="I56" s="7">
        <f>Resurse!E61</f>
        <v/>
      </c>
      <c r="J56" s="7">
        <f>F56*I56</f>
        <v/>
      </c>
      <c r="K56">
        <f>Resurse!D61</f>
        <v/>
      </c>
    </row>
    <row r="57">
      <c r="A57">
        <f>F3!A29</f>
        <v/>
      </c>
      <c r="B57">
        <f>F3!C29</f>
        <v/>
      </c>
      <c r="C57" t="inlineStr">
        <is>
          <t>M08</t>
        </is>
      </c>
      <c r="D57">
        <f>Resurse!B13</f>
        <v/>
      </c>
      <c r="E57">
        <f>Resurse!C13</f>
        <v/>
      </c>
      <c r="F57" s="17" t="n">
        <v>1.12</v>
      </c>
      <c r="G57" s="6">
        <f>F3!E29</f>
        <v/>
      </c>
      <c r="H57" s="6">
        <f>F57*G57</f>
        <v/>
      </c>
      <c r="I57" s="7">
        <f>Resurse!E13</f>
        <v/>
      </c>
      <c r="J57" s="7">
        <f>F57*I57</f>
        <v/>
      </c>
      <c r="K57">
        <f>Resurse!D13</f>
        <v/>
      </c>
    </row>
    <row r="58">
      <c r="A58">
        <f>F3!A29</f>
        <v/>
      </c>
      <c r="B58">
        <f>F3!C29</f>
        <v/>
      </c>
      <c r="C58" t="inlineStr">
        <is>
          <t>M09</t>
        </is>
      </c>
      <c r="D58">
        <f>Resurse!B14</f>
        <v/>
      </c>
      <c r="E58">
        <f>Resurse!C14</f>
        <v/>
      </c>
      <c r="F58" s="17" t="n">
        <v>0.1</v>
      </c>
      <c r="G58" s="6">
        <f>F3!E29</f>
        <v/>
      </c>
      <c r="H58" s="6">
        <f>F58*G58</f>
        <v/>
      </c>
      <c r="I58" s="7">
        <f>Resurse!E14</f>
        <v/>
      </c>
      <c r="J58" s="7">
        <f>F58*I58</f>
        <v/>
      </c>
      <c r="K58">
        <f>Resurse!D14</f>
        <v/>
      </c>
    </row>
    <row r="59">
      <c r="A59">
        <f>F3!A29</f>
        <v/>
      </c>
      <c r="B59">
        <f>F3!C29</f>
        <v/>
      </c>
      <c r="C59" t="inlineStr">
        <is>
          <t>O02</t>
        </is>
      </c>
      <c r="D59">
        <f>Resurse!B53</f>
        <v/>
      </c>
      <c r="E59">
        <f>Resurse!C53</f>
        <v/>
      </c>
      <c r="F59" s="17" t="n">
        <v>0.02665</v>
      </c>
      <c r="G59" s="6">
        <f>F3!E29</f>
        <v/>
      </c>
      <c r="H59" s="6">
        <f>F59*G59</f>
        <v/>
      </c>
      <c r="I59" s="7">
        <f>Resurse!E53</f>
        <v/>
      </c>
      <c r="J59" s="7">
        <f>F59*I59</f>
        <v/>
      </c>
      <c r="K59">
        <f>Resurse!D53</f>
        <v/>
      </c>
    </row>
    <row r="60">
      <c r="A60">
        <f>F3!A30</f>
        <v/>
      </c>
      <c r="B60">
        <f>F3!C30</f>
        <v/>
      </c>
      <c r="C60" t="inlineStr">
        <is>
          <t>M10</t>
        </is>
      </c>
      <c r="D60">
        <f>Resurse!B15</f>
        <v/>
      </c>
      <c r="E60">
        <f>Resurse!C15</f>
        <v/>
      </c>
      <c r="F60" s="17" t="n">
        <v>1.1</v>
      </c>
      <c r="G60" s="6">
        <f>F3!E30</f>
        <v/>
      </c>
      <c r="H60" s="6">
        <f>F60*G60</f>
        <v/>
      </c>
      <c r="I60" s="7">
        <f>Resurse!E15</f>
        <v/>
      </c>
      <c r="J60" s="7">
        <f>F60*I60</f>
        <v/>
      </c>
      <c r="K60">
        <f>Resurse!D15</f>
        <v/>
      </c>
    </row>
    <row r="61">
      <c r="A61">
        <f>F3!A30</f>
        <v/>
      </c>
      <c r="B61">
        <f>F3!C30</f>
        <v/>
      </c>
      <c r="C61" t="inlineStr">
        <is>
          <t>M11</t>
        </is>
      </c>
      <c r="D61">
        <f>Resurse!B16</f>
        <v/>
      </c>
      <c r="E61">
        <f>Resurse!C16</f>
        <v/>
      </c>
      <c r="F61" s="17" t="n">
        <v>4</v>
      </c>
      <c r="G61" s="6">
        <f>F3!E30</f>
        <v/>
      </c>
      <c r="H61" s="6">
        <f>F61*G61</f>
        <v/>
      </c>
      <c r="I61" s="7">
        <f>Resurse!E16</f>
        <v/>
      </c>
      <c r="J61" s="7">
        <f>F61*I61</f>
        <v/>
      </c>
      <c r="K61">
        <f>Resurse!D16</f>
        <v/>
      </c>
    </row>
    <row r="62">
      <c r="A62">
        <f>F3!A30</f>
        <v/>
      </c>
      <c r="B62">
        <f>F3!C30</f>
        <v/>
      </c>
      <c r="C62" t="inlineStr">
        <is>
          <t>O02</t>
        </is>
      </c>
      <c r="D62">
        <f>Resurse!B53</f>
        <v/>
      </c>
      <c r="E62">
        <f>Resurse!C53</f>
        <v/>
      </c>
      <c r="F62" s="17" t="n">
        <v>0.21654</v>
      </c>
      <c r="G62" s="6">
        <f>F3!E30</f>
        <v/>
      </c>
      <c r="H62" s="6">
        <f>F62*G62</f>
        <v/>
      </c>
      <c r="I62" s="7">
        <f>Resurse!E53</f>
        <v/>
      </c>
      <c r="J62" s="7">
        <f>F62*I62</f>
        <v/>
      </c>
      <c r="K62">
        <f>Resurse!D53</f>
        <v/>
      </c>
    </row>
    <row r="63">
      <c r="A63">
        <f>F3!A30</f>
        <v/>
      </c>
      <c r="B63">
        <f>F3!C30</f>
        <v/>
      </c>
      <c r="C63" t="inlineStr">
        <is>
          <t>O03</t>
        </is>
      </c>
      <c r="D63">
        <f>Resurse!B54</f>
        <v/>
      </c>
      <c r="E63">
        <f>Resurse!C54</f>
        <v/>
      </c>
      <c r="F63" s="17" t="n">
        <v>0.16027</v>
      </c>
      <c r="G63" s="6">
        <f>F3!E30</f>
        <v/>
      </c>
      <c r="H63" s="6">
        <f>F63*G63</f>
        <v/>
      </c>
      <c r="I63" s="7">
        <f>Resurse!E54</f>
        <v/>
      </c>
      <c r="J63" s="7">
        <f>F63*I63</f>
        <v/>
      </c>
      <c r="K63">
        <f>Resurse!D54</f>
        <v/>
      </c>
    </row>
    <row r="64">
      <c r="A64">
        <f>F3!A30</f>
        <v/>
      </c>
      <c r="B64">
        <f>F3!C30</f>
        <v/>
      </c>
      <c r="C64" t="inlineStr">
        <is>
          <t>T01</t>
        </is>
      </c>
      <c r="D64">
        <f>Resurse!B61</f>
        <v/>
      </c>
      <c r="E64">
        <f>Resurse!C61</f>
        <v/>
      </c>
      <c r="F64" s="17" t="n">
        <v>3</v>
      </c>
      <c r="G64" s="6">
        <f>F3!E30</f>
        <v/>
      </c>
      <c r="H64" s="6">
        <f>F64*G64</f>
        <v/>
      </c>
      <c r="I64" s="7">
        <f>Resurse!E61</f>
        <v/>
      </c>
      <c r="J64" s="7">
        <f>F64*I64</f>
        <v/>
      </c>
      <c r="K64">
        <f>Resurse!D61</f>
        <v/>
      </c>
    </row>
    <row r="65">
      <c r="A65">
        <f>F3!A31</f>
        <v/>
      </c>
      <c r="B65">
        <f>F3!C31</f>
        <v/>
      </c>
      <c r="C65" t="inlineStr">
        <is>
          <t>M12</t>
        </is>
      </c>
      <c r="D65">
        <f>Resurse!B17</f>
        <v/>
      </c>
      <c r="E65">
        <f>Resurse!C17</f>
        <v/>
      </c>
      <c r="F65" s="17" t="n">
        <v>1</v>
      </c>
      <c r="G65" s="6">
        <f>F3!E31</f>
        <v/>
      </c>
      <c r="H65" s="6">
        <f>F65*G65</f>
        <v/>
      </c>
      <c r="I65" s="7">
        <f>Resurse!E17</f>
        <v/>
      </c>
      <c r="J65" s="7">
        <f>F65*I65</f>
        <v/>
      </c>
      <c r="K65">
        <f>Resurse!D17</f>
        <v/>
      </c>
    </row>
    <row r="66">
      <c r="A66">
        <f>F3!A31</f>
        <v/>
      </c>
      <c r="B66">
        <f>F3!C31</f>
        <v/>
      </c>
      <c r="C66" t="inlineStr">
        <is>
          <t>M13</t>
        </is>
      </c>
      <c r="D66">
        <f>Resurse!B18</f>
        <v/>
      </c>
      <c r="E66">
        <f>Resurse!C18</f>
        <v/>
      </c>
      <c r="F66" s="17" t="n">
        <v>1</v>
      </c>
      <c r="G66" s="6">
        <f>F3!E31</f>
        <v/>
      </c>
      <c r="H66" s="6">
        <f>F66*G66</f>
        <v/>
      </c>
      <c r="I66" s="7">
        <f>Resurse!E18</f>
        <v/>
      </c>
      <c r="J66" s="7">
        <f>F66*I66</f>
        <v/>
      </c>
      <c r="K66">
        <f>Resurse!D18</f>
        <v/>
      </c>
    </row>
    <row r="67">
      <c r="A67">
        <f>F3!A31</f>
        <v/>
      </c>
      <c r="B67">
        <f>F3!C31</f>
        <v/>
      </c>
      <c r="C67" t="inlineStr">
        <is>
          <t>M14</t>
        </is>
      </c>
      <c r="D67">
        <f>Resurse!B19</f>
        <v/>
      </c>
      <c r="E67">
        <f>Resurse!C19</f>
        <v/>
      </c>
      <c r="F67" s="17" t="n">
        <v>0.15</v>
      </c>
      <c r="G67" s="6">
        <f>F3!E31</f>
        <v/>
      </c>
      <c r="H67" s="6">
        <f>F67*G67</f>
        <v/>
      </c>
      <c r="I67" s="7">
        <f>Resurse!E19</f>
        <v/>
      </c>
      <c r="J67" s="7">
        <f>F67*I67</f>
        <v/>
      </c>
      <c r="K67">
        <f>Resurse!D19</f>
        <v/>
      </c>
    </row>
    <row r="68">
      <c r="A68">
        <f>F3!A31</f>
        <v/>
      </c>
      <c r="B68">
        <f>F3!C31</f>
        <v/>
      </c>
      <c r="C68" t="inlineStr">
        <is>
          <t>O02</t>
        </is>
      </c>
      <c r="D68">
        <f>Resurse!B53</f>
        <v/>
      </c>
      <c r="E68">
        <f>Resurse!C53</f>
        <v/>
      </c>
      <c r="F68" s="17" t="n">
        <v>0.14991</v>
      </c>
      <c r="G68" s="6">
        <f>F3!E31</f>
        <v/>
      </c>
      <c r="H68" s="6">
        <f>F68*G68</f>
        <v/>
      </c>
      <c r="I68" s="7">
        <f>Resurse!E53</f>
        <v/>
      </c>
      <c r="J68" s="7">
        <f>F68*I68</f>
        <v/>
      </c>
      <c r="K68">
        <f>Resurse!D53</f>
        <v/>
      </c>
    </row>
    <row r="69">
      <c r="A69">
        <f>F3!A32</f>
        <v/>
      </c>
      <c r="B69">
        <f>F3!C32</f>
        <v/>
      </c>
      <c r="C69" t="inlineStr">
        <is>
          <t>M20</t>
        </is>
      </c>
      <c r="D69">
        <f>Resurse!B24</f>
        <v/>
      </c>
      <c r="E69">
        <f>Resurse!C24</f>
        <v/>
      </c>
      <c r="F69" s="17" t="n">
        <v>0.62</v>
      </c>
      <c r="G69" s="6">
        <f>F3!E32</f>
        <v/>
      </c>
      <c r="H69" s="6">
        <f>F69*G69</f>
        <v/>
      </c>
      <c r="I69" s="7">
        <f>Resurse!E24</f>
        <v/>
      </c>
      <c r="J69" s="7">
        <f>F69*I69</f>
        <v/>
      </c>
      <c r="K69">
        <f>Resurse!D24</f>
        <v/>
      </c>
    </row>
    <row r="70">
      <c r="A70">
        <f>F3!A32</f>
        <v/>
      </c>
      <c r="B70">
        <f>F3!C32</f>
        <v/>
      </c>
      <c r="C70" t="inlineStr">
        <is>
          <t>M09</t>
        </is>
      </c>
      <c r="D70">
        <f>Resurse!B14</f>
        <v/>
      </c>
      <c r="E70">
        <f>Resurse!C14</f>
        <v/>
      </c>
      <c r="F70" s="17" t="n">
        <v>0.05</v>
      </c>
      <c r="G70" s="6">
        <f>F3!E32</f>
        <v/>
      </c>
      <c r="H70" s="6">
        <f>F70*G70</f>
        <v/>
      </c>
      <c r="I70" s="7">
        <f>Resurse!E14</f>
        <v/>
      </c>
      <c r="J70" s="7">
        <f>F70*I70</f>
        <v/>
      </c>
      <c r="K70">
        <f>Resurse!D14</f>
        <v/>
      </c>
    </row>
    <row r="71">
      <c r="A71">
        <f>F3!A32</f>
        <v/>
      </c>
      <c r="B71">
        <f>F3!C32</f>
        <v/>
      </c>
      <c r="C71" t="inlineStr">
        <is>
          <t>O02</t>
        </is>
      </c>
      <c r="D71">
        <f>Resurse!B53</f>
        <v/>
      </c>
      <c r="E71">
        <f>Resurse!C53</f>
        <v/>
      </c>
      <c r="F71" s="17" t="n">
        <v>0.18323</v>
      </c>
      <c r="G71" s="6">
        <f>F3!E32</f>
        <v/>
      </c>
      <c r="H71" s="6">
        <f>F71*G71</f>
        <v/>
      </c>
      <c r="I71" s="7">
        <f>Resurse!E53</f>
        <v/>
      </c>
      <c r="J71" s="7">
        <f>F71*I71</f>
        <v/>
      </c>
      <c r="K71">
        <f>Resurse!D53</f>
        <v/>
      </c>
    </row>
    <row r="72">
      <c r="A72">
        <f>F3!A33</f>
        <v/>
      </c>
      <c r="B72">
        <f>F3!C33</f>
        <v/>
      </c>
      <c r="C72" t="inlineStr">
        <is>
          <t>M20</t>
        </is>
      </c>
      <c r="D72">
        <f>Resurse!B24</f>
        <v/>
      </c>
      <c r="E72">
        <f>Resurse!C24</f>
        <v/>
      </c>
      <c r="F72" s="17" t="n">
        <v>0.4</v>
      </c>
      <c r="G72" s="6">
        <f>F3!E33</f>
        <v/>
      </c>
      <c r="H72" s="6">
        <f>F72*G72</f>
        <v/>
      </c>
      <c r="I72" s="7">
        <f>Resurse!E24</f>
        <v/>
      </c>
      <c r="J72" s="7">
        <f>F72*I72</f>
        <v/>
      </c>
      <c r="K72">
        <f>Resurse!D24</f>
        <v/>
      </c>
    </row>
    <row r="73">
      <c r="A73">
        <f>F3!A33</f>
        <v/>
      </c>
      <c r="B73">
        <f>F3!C33</f>
        <v/>
      </c>
      <c r="C73" t="inlineStr">
        <is>
          <t>M09</t>
        </is>
      </c>
      <c r="D73">
        <f>Resurse!B14</f>
        <v/>
      </c>
      <c r="E73">
        <f>Resurse!C14</f>
        <v/>
      </c>
      <c r="F73" s="17" t="n">
        <v>0.05</v>
      </c>
      <c r="G73" s="6">
        <f>F3!E33</f>
        <v/>
      </c>
      <c r="H73" s="6">
        <f>F73*G73</f>
        <v/>
      </c>
      <c r="I73" s="7">
        <f>Resurse!E14</f>
        <v/>
      </c>
      <c r="J73" s="7">
        <f>F73*I73</f>
        <v/>
      </c>
      <c r="K73">
        <f>Resurse!D14</f>
        <v/>
      </c>
    </row>
    <row r="74">
      <c r="A74">
        <f>F3!A33</f>
        <v/>
      </c>
      <c r="B74">
        <f>F3!C33</f>
        <v/>
      </c>
      <c r="C74" t="inlineStr">
        <is>
          <t>O02</t>
        </is>
      </c>
      <c r="D74">
        <f>Resurse!B53</f>
        <v/>
      </c>
      <c r="E74">
        <f>Resurse!C53</f>
        <v/>
      </c>
      <c r="F74" s="17" t="n">
        <v>0.09994</v>
      </c>
      <c r="G74" s="6">
        <f>F3!E33</f>
        <v/>
      </c>
      <c r="H74" s="6">
        <f>F74*G74</f>
        <v/>
      </c>
      <c r="I74" s="7">
        <f>Resurse!E53</f>
        <v/>
      </c>
      <c r="J74" s="7">
        <f>F74*I74</f>
        <v/>
      </c>
      <c r="K74">
        <f>Resurse!D53</f>
        <v/>
      </c>
    </row>
    <row r="75">
      <c r="A75">
        <f>F3!A34</f>
        <v/>
      </c>
      <c r="B75">
        <f>F3!C34</f>
        <v/>
      </c>
      <c r="C75" t="inlineStr">
        <is>
          <t>M20</t>
        </is>
      </c>
      <c r="D75">
        <f>Resurse!B24</f>
        <v/>
      </c>
      <c r="E75">
        <f>Resurse!C24</f>
        <v/>
      </c>
      <c r="F75" s="17" t="n">
        <v>0.4</v>
      </c>
      <c r="G75" s="6">
        <f>F3!E34</f>
        <v/>
      </c>
      <c r="H75" s="6">
        <f>F75*G75</f>
        <v/>
      </c>
      <c r="I75" s="7">
        <f>Resurse!E24</f>
        <v/>
      </c>
      <c r="J75" s="7">
        <f>F75*I75</f>
        <v/>
      </c>
      <c r="K75">
        <f>Resurse!D24</f>
        <v/>
      </c>
    </row>
    <row r="76">
      <c r="A76">
        <f>F3!A34</f>
        <v/>
      </c>
      <c r="B76">
        <f>F3!C34</f>
        <v/>
      </c>
      <c r="C76" t="inlineStr">
        <is>
          <t>M09</t>
        </is>
      </c>
      <c r="D76">
        <f>Resurse!B14</f>
        <v/>
      </c>
      <c r="E76">
        <f>Resurse!C14</f>
        <v/>
      </c>
      <c r="F76" s="17" t="n">
        <v>0.05</v>
      </c>
      <c r="G76" s="6">
        <f>F3!E34</f>
        <v/>
      </c>
      <c r="H76" s="6">
        <f>F76*G76</f>
        <v/>
      </c>
      <c r="I76" s="7">
        <f>Resurse!E14</f>
        <v/>
      </c>
      <c r="J76" s="7">
        <f>F76*I76</f>
        <v/>
      </c>
      <c r="K76">
        <f>Resurse!D14</f>
        <v/>
      </c>
    </row>
    <row r="77">
      <c r="A77">
        <f>F3!A34</f>
        <v/>
      </c>
      <c r="B77">
        <f>F3!C34</f>
        <v/>
      </c>
      <c r="C77" t="inlineStr">
        <is>
          <t>O02</t>
        </is>
      </c>
      <c r="D77">
        <f>Resurse!B53</f>
        <v/>
      </c>
      <c r="E77">
        <f>Resurse!C53</f>
        <v/>
      </c>
      <c r="F77" s="17" t="n">
        <v>0.1166</v>
      </c>
      <c r="G77" s="6">
        <f>F3!E34</f>
        <v/>
      </c>
      <c r="H77" s="6">
        <f>F77*G77</f>
        <v/>
      </c>
      <c r="I77" s="7">
        <f>Resurse!E53</f>
        <v/>
      </c>
      <c r="J77" s="7">
        <f>F77*I77</f>
        <v/>
      </c>
      <c r="K77">
        <f>Resurse!D53</f>
        <v/>
      </c>
    </row>
    <row r="78">
      <c r="A78">
        <f>F3!A35</f>
        <v/>
      </c>
      <c r="B78">
        <f>F3!C35</f>
        <v/>
      </c>
      <c r="C78" t="inlineStr">
        <is>
          <t>M15</t>
        </is>
      </c>
      <c r="D78">
        <f>Resurse!B20</f>
        <v/>
      </c>
      <c r="E78">
        <f>Resurse!C20</f>
        <v/>
      </c>
      <c r="F78" s="17" t="n">
        <v>1.2</v>
      </c>
      <c r="G78" s="6">
        <f>F3!E35</f>
        <v/>
      </c>
      <c r="H78" s="6">
        <f>F78*G78</f>
        <v/>
      </c>
      <c r="I78" s="7">
        <f>Resurse!E20</f>
        <v/>
      </c>
      <c r="J78" s="7">
        <f>F78*I78</f>
        <v/>
      </c>
      <c r="K78">
        <f>Resurse!D20</f>
        <v/>
      </c>
    </row>
    <row r="79">
      <c r="A79">
        <f>F3!A35</f>
        <v/>
      </c>
      <c r="B79">
        <f>F3!C35</f>
        <v/>
      </c>
      <c r="C79" t="inlineStr">
        <is>
          <t>O02</t>
        </is>
      </c>
      <c r="D79">
        <f>Resurse!B53</f>
        <v/>
      </c>
      <c r="E79">
        <f>Resurse!C53</f>
        <v/>
      </c>
      <c r="F79" s="17" t="n">
        <v>0.09994</v>
      </c>
      <c r="G79" s="6">
        <f>F3!E35</f>
        <v/>
      </c>
      <c r="H79" s="6">
        <f>F79*G79</f>
        <v/>
      </c>
      <c r="I79" s="7">
        <f>Resurse!E53</f>
        <v/>
      </c>
      <c r="J79" s="7">
        <f>F79*I79</f>
        <v/>
      </c>
      <c r="K79">
        <f>Resurse!D53</f>
        <v/>
      </c>
    </row>
    <row r="80">
      <c r="A80">
        <f>F3!A36</f>
        <v/>
      </c>
      <c r="B80">
        <f>F3!C36</f>
        <v/>
      </c>
      <c r="C80" t="inlineStr">
        <is>
          <t>M20</t>
        </is>
      </c>
      <c r="D80">
        <f>Resurse!B24</f>
        <v/>
      </c>
      <c r="E80">
        <f>Resurse!C24</f>
        <v/>
      </c>
      <c r="F80" s="17" t="n">
        <v>0.45</v>
      </c>
      <c r="G80" s="6">
        <f>F3!E36</f>
        <v/>
      </c>
      <c r="H80" s="6">
        <f>F80*G80</f>
        <v/>
      </c>
      <c r="I80" s="7">
        <f>Resurse!E24</f>
        <v/>
      </c>
      <c r="J80" s="7">
        <f>F80*I80</f>
        <v/>
      </c>
      <c r="K80">
        <f>Resurse!D24</f>
        <v/>
      </c>
    </row>
    <row r="81">
      <c r="A81">
        <f>F3!A36</f>
        <v/>
      </c>
      <c r="B81">
        <f>F3!C36</f>
        <v/>
      </c>
      <c r="C81" t="inlineStr">
        <is>
          <t>M09</t>
        </is>
      </c>
      <c r="D81">
        <f>Resurse!B14</f>
        <v/>
      </c>
      <c r="E81">
        <f>Resurse!C14</f>
        <v/>
      </c>
      <c r="F81" s="17" t="n">
        <v>0.05</v>
      </c>
      <c r="G81" s="6">
        <f>F3!E36</f>
        <v/>
      </c>
      <c r="H81" s="6">
        <f>F81*G81</f>
        <v/>
      </c>
      <c r="I81" s="7">
        <f>Resurse!E14</f>
        <v/>
      </c>
      <c r="J81" s="7">
        <f>F81*I81</f>
        <v/>
      </c>
      <c r="K81">
        <f>Resurse!D14</f>
        <v/>
      </c>
    </row>
    <row r="82">
      <c r="A82">
        <f>F3!A36</f>
        <v/>
      </c>
      <c r="B82">
        <f>F3!C36</f>
        <v/>
      </c>
      <c r="C82" t="inlineStr">
        <is>
          <t>M17</t>
        </is>
      </c>
      <c r="D82">
        <f>Resurse!B21</f>
        <v/>
      </c>
      <c r="E82">
        <f>Resurse!C21</f>
        <v/>
      </c>
      <c r="F82" s="17" t="n">
        <v>0.1</v>
      </c>
      <c r="G82" s="6">
        <f>F3!E36</f>
        <v/>
      </c>
      <c r="H82" s="6">
        <f>F82*G82</f>
        <v/>
      </c>
      <c r="I82" s="7">
        <f>Resurse!E21</f>
        <v/>
      </c>
      <c r="J82" s="7">
        <f>F82*I82</f>
        <v/>
      </c>
      <c r="K82">
        <f>Resurse!D21</f>
        <v/>
      </c>
    </row>
    <row r="83">
      <c r="A83">
        <f>F3!A36</f>
        <v/>
      </c>
      <c r="B83">
        <f>F3!C36</f>
        <v/>
      </c>
      <c r="C83" t="inlineStr">
        <is>
          <t>O02</t>
        </is>
      </c>
      <c r="D83">
        <f>Resurse!B53</f>
        <v/>
      </c>
      <c r="E83">
        <f>Resurse!C53</f>
        <v/>
      </c>
      <c r="F83" s="17" t="n">
        <v>0.16657</v>
      </c>
      <c r="G83" s="6">
        <f>F3!E36</f>
        <v/>
      </c>
      <c r="H83" s="6">
        <f>F83*G83</f>
        <v/>
      </c>
      <c r="I83" s="7">
        <f>Resurse!E53</f>
        <v/>
      </c>
      <c r="J83" s="7">
        <f>F83*I83</f>
        <v/>
      </c>
      <c r="K83">
        <f>Resurse!D53</f>
        <v/>
      </c>
    </row>
    <row r="84">
      <c r="A84">
        <f>F3!A40</f>
        <v/>
      </c>
      <c r="B84">
        <f>F3!C40</f>
        <v/>
      </c>
      <c r="C84" t="inlineStr">
        <is>
          <t>M18</t>
        </is>
      </c>
      <c r="D84">
        <f>Resurse!B22</f>
        <v/>
      </c>
      <c r="E84">
        <f>Resurse!C22</f>
        <v/>
      </c>
      <c r="F84" s="17" t="n">
        <v>1.2</v>
      </c>
      <c r="G84" s="6">
        <f>F3!E40</f>
        <v/>
      </c>
      <c r="H84" s="6">
        <f>F84*G84</f>
        <v/>
      </c>
      <c r="I84" s="7">
        <f>Resurse!E22</f>
        <v/>
      </c>
      <c r="J84" s="7">
        <f>F84*I84</f>
        <v/>
      </c>
      <c r="K84">
        <f>Resurse!D22</f>
        <v/>
      </c>
    </row>
    <row r="85">
      <c r="A85">
        <f>F3!A40</f>
        <v/>
      </c>
      <c r="B85">
        <f>F3!C40</f>
        <v/>
      </c>
      <c r="C85" t="inlineStr">
        <is>
          <t>M19</t>
        </is>
      </c>
      <c r="D85">
        <f>Resurse!B23</f>
        <v/>
      </c>
      <c r="E85">
        <f>Resurse!C23</f>
        <v/>
      </c>
      <c r="F85" s="17" t="n">
        <v>22</v>
      </c>
      <c r="G85" s="6">
        <f>F3!E40</f>
        <v/>
      </c>
      <c r="H85" s="6">
        <f>F85*G85</f>
        <v/>
      </c>
      <c r="I85" s="7">
        <f>Resurse!E23</f>
        <v/>
      </c>
      <c r="J85" s="7">
        <f>F85*I85</f>
        <v/>
      </c>
      <c r="K85">
        <f>Resurse!D23</f>
        <v/>
      </c>
    </row>
    <row r="86">
      <c r="A86">
        <f>F3!A40</f>
        <v/>
      </c>
      <c r="B86">
        <f>F3!C40</f>
        <v/>
      </c>
      <c r="C86" t="inlineStr">
        <is>
          <t>M52</t>
        </is>
      </c>
      <c r="D86">
        <f>Resurse!B36</f>
        <v/>
      </c>
      <c r="E86">
        <f>Resurse!C36</f>
        <v/>
      </c>
      <c r="F86" s="17" t="n">
        <v>0.15</v>
      </c>
      <c r="G86" s="6">
        <f>F3!E40</f>
        <v/>
      </c>
      <c r="H86" s="6">
        <f>F86*G86</f>
        <v/>
      </c>
      <c r="I86" s="7">
        <f>Resurse!E36</f>
        <v/>
      </c>
      <c r="J86" s="7">
        <f>F86*I86</f>
        <v/>
      </c>
      <c r="K86">
        <f>Resurse!D36</f>
        <v/>
      </c>
    </row>
    <row r="87">
      <c r="A87">
        <f>F3!A40</f>
        <v/>
      </c>
      <c r="B87">
        <f>F3!C40</f>
        <v/>
      </c>
      <c r="C87" t="inlineStr">
        <is>
          <t>O01</t>
        </is>
      </c>
      <c r="D87">
        <f>Resurse!B52</f>
        <v/>
      </c>
      <c r="E87">
        <f>Resurse!C52</f>
        <v/>
      </c>
      <c r="F87" s="17" t="n">
        <v>0.29983</v>
      </c>
      <c r="G87" s="6">
        <f>F3!E40</f>
        <v/>
      </c>
      <c r="H87" s="6">
        <f>F87*G87</f>
        <v/>
      </c>
      <c r="I87" s="7">
        <f>Resurse!E52</f>
        <v/>
      </c>
      <c r="J87" s="7">
        <f>F87*I87</f>
        <v/>
      </c>
      <c r="K87">
        <f>Resurse!D52</f>
        <v/>
      </c>
    </row>
    <row r="88">
      <c r="A88">
        <f>F3!A40</f>
        <v/>
      </c>
      <c r="B88">
        <f>F3!C40</f>
        <v/>
      </c>
      <c r="C88" t="inlineStr">
        <is>
          <t>O03</t>
        </is>
      </c>
      <c r="D88">
        <f>Resurse!B54</f>
        <v/>
      </c>
      <c r="E88">
        <f>Resurse!C54</f>
        <v/>
      </c>
      <c r="F88" s="17" t="n">
        <v>0.09616</v>
      </c>
      <c r="G88" s="6">
        <f>F3!E40</f>
        <v/>
      </c>
      <c r="H88" s="6">
        <f>F88*G88</f>
        <v/>
      </c>
      <c r="I88" s="7">
        <f>Resurse!E54</f>
        <v/>
      </c>
      <c r="J88" s="7">
        <f>F88*I88</f>
        <v/>
      </c>
      <c r="K88">
        <f>Resurse!D54</f>
        <v/>
      </c>
    </row>
    <row r="89">
      <c r="A89">
        <f>F3!A40</f>
        <v/>
      </c>
      <c r="B89">
        <f>F3!C40</f>
        <v/>
      </c>
      <c r="C89" t="inlineStr">
        <is>
          <t>U02</t>
        </is>
      </c>
      <c r="D89">
        <f>Resurse!B59</f>
        <v/>
      </c>
      <c r="E89">
        <f>Resurse!C59</f>
        <v/>
      </c>
      <c r="F89" s="17" t="n">
        <v>0.1</v>
      </c>
      <c r="G89" s="6">
        <f>F3!E40</f>
        <v/>
      </c>
      <c r="H89" s="6">
        <f>F89*G89</f>
        <v/>
      </c>
      <c r="I89" s="7">
        <f>Resurse!E59</f>
        <v/>
      </c>
      <c r="J89" s="7">
        <f>F89*I89</f>
        <v/>
      </c>
      <c r="K89">
        <f>Resurse!D59</f>
        <v/>
      </c>
    </row>
    <row r="90">
      <c r="A90">
        <f>F3!A41</f>
        <v/>
      </c>
      <c r="B90">
        <f>F3!C41</f>
        <v/>
      </c>
      <c r="C90" t="inlineStr">
        <is>
          <t>M55</t>
        </is>
      </c>
      <c r="D90">
        <f>Resurse!B39</f>
        <v/>
      </c>
      <c r="E90">
        <f>Resurse!C39</f>
        <v/>
      </c>
      <c r="F90" s="17" t="n">
        <v>1.05</v>
      </c>
      <c r="G90" s="6">
        <f>F3!E41</f>
        <v/>
      </c>
      <c r="H90" s="6">
        <f>F90*G90</f>
        <v/>
      </c>
      <c r="I90" s="7">
        <f>Resurse!E39</f>
        <v/>
      </c>
      <c r="J90" s="7">
        <f>F90*I90</f>
        <v/>
      </c>
      <c r="K90">
        <f>Resurse!D39</f>
        <v/>
      </c>
    </row>
    <row r="91">
      <c r="A91">
        <f>F3!A41</f>
        <v/>
      </c>
      <c r="B91">
        <f>F3!C41</f>
        <v/>
      </c>
      <c r="C91" t="inlineStr">
        <is>
          <t>M19</t>
        </is>
      </c>
      <c r="D91">
        <f>Resurse!B23</f>
        <v/>
      </c>
      <c r="E91">
        <f>Resurse!C23</f>
        <v/>
      </c>
      <c r="F91" s="17" t="n">
        <v>4</v>
      </c>
      <c r="G91" s="6">
        <f>F3!E41</f>
        <v/>
      </c>
      <c r="H91" s="6">
        <f>F91*G91</f>
        <v/>
      </c>
      <c r="I91" s="7">
        <f>Resurse!E23</f>
        <v/>
      </c>
      <c r="J91" s="7">
        <f>F91*I91</f>
        <v/>
      </c>
      <c r="K91">
        <f>Resurse!D23</f>
        <v/>
      </c>
    </row>
    <row r="92">
      <c r="A92">
        <f>F3!A41</f>
        <v/>
      </c>
      <c r="B92">
        <f>F3!C41</f>
        <v/>
      </c>
      <c r="C92" t="inlineStr">
        <is>
          <t>O01</t>
        </is>
      </c>
      <c r="D92">
        <f>Resurse!B52</f>
        <v/>
      </c>
      <c r="E92">
        <f>Resurse!C52</f>
        <v/>
      </c>
      <c r="F92" s="17" t="n">
        <v>0.1166</v>
      </c>
      <c r="G92" s="6">
        <f>F3!E41</f>
        <v/>
      </c>
      <c r="H92" s="6">
        <f>F92*G92</f>
        <v/>
      </c>
      <c r="I92" s="7">
        <f>Resurse!E52</f>
        <v/>
      </c>
      <c r="J92" s="7">
        <f>F92*I92</f>
        <v/>
      </c>
      <c r="K92">
        <f>Resurse!D52</f>
        <v/>
      </c>
    </row>
    <row r="93">
      <c r="A93">
        <f>F3!A45</f>
        <v/>
      </c>
      <c r="B93">
        <f>F3!C45</f>
        <v/>
      </c>
      <c r="C93" t="inlineStr">
        <is>
          <t>M60</t>
        </is>
      </c>
      <c r="D93">
        <f>Resurse!B41</f>
        <v/>
      </c>
      <c r="E93">
        <f>Resurse!C41</f>
        <v/>
      </c>
      <c r="F93" s="17" t="n">
        <v>25</v>
      </c>
      <c r="G93" s="6">
        <f>F3!E45</f>
        <v/>
      </c>
      <c r="H93" s="6">
        <f>F93*G93</f>
        <v/>
      </c>
      <c r="I93" s="7">
        <f>Resurse!E41</f>
        <v/>
      </c>
      <c r="J93" s="7">
        <f>F93*I93</f>
        <v/>
      </c>
      <c r="K93">
        <f>Resurse!D41</f>
        <v/>
      </c>
    </row>
    <row r="94">
      <c r="A94">
        <f>F3!A45</f>
        <v/>
      </c>
      <c r="B94">
        <f>F3!C45</f>
        <v/>
      </c>
      <c r="C94" t="inlineStr">
        <is>
          <t>M61</t>
        </is>
      </c>
      <c r="D94">
        <f>Resurse!B42</f>
        <v/>
      </c>
      <c r="E94">
        <f>Resurse!C42</f>
        <v/>
      </c>
      <c r="F94" s="17" t="n">
        <v>45</v>
      </c>
      <c r="G94" s="6">
        <f>F3!E45</f>
        <v/>
      </c>
      <c r="H94" s="6">
        <f>F94*G94</f>
        <v/>
      </c>
      <c r="I94" s="7">
        <f>Resurse!E42</f>
        <v/>
      </c>
      <c r="J94" s="7">
        <f>F94*I94</f>
        <v/>
      </c>
      <c r="K94">
        <f>Resurse!D42</f>
        <v/>
      </c>
    </row>
    <row r="95">
      <c r="A95">
        <f>F3!A45</f>
        <v/>
      </c>
      <c r="B95">
        <f>F3!C45</f>
        <v/>
      </c>
      <c r="C95" t="inlineStr">
        <is>
          <t>M62</t>
        </is>
      </c>
      <c r="D95">
        <f>Resurse!B43</f>
        <v/>
      </c>
      <c r="E95">
        <f>Resurse!C43</f>
        <v/>
      </c>
      <c r="F95" s="17" t="n">
        <v>1</v>
      </c>
      <c r="G95" s="6">
        <f>F3!E45</f>
        <v/>
      </c>
      <c r="H95" s="6">
        <f>F95*G95</f>
        <v/>
      </c>
      <c r="I95" s="7">
        <f>Resurse!E43</f>
        <v/>
      </c>
      <c r="J95" s="7">
        <f>F95*I95</f>
        <v/>
      </c>
      <c r="K95">
        <f>Resurse!D43</f>
        <v/>
      </c>
    </row>
    <row r="96">
      <c r="A96">
        <f>F3!A45</f>
        <v/>
      </c>
      <c r="B96">
        <f>F3!C45</f>
        <v/>
      </c>
      <c r="C96" t="inlineStr">
        <is>
          <t>M63</t>
        </is>
      </c>
      <c r="D96">
        <f>Resurse!B44</f>
        <v/>
      </c>
      <c r="E96">
        <f>Resurse!C44</f>
        <v/>
      </c>
      <c r="F96" s="17" t="n">
        <v>1</v>
      </c>
      <c r="G96" s="6">
        <f>F3!E45</f>
        <v/>
      </c>
      <c r="H96" s="6">
        <f>F96*G96</f>
        <v/>
      </c>
      <c r="I96" s="7">
        <f>Resurse!E44</f>
        <v/>
      </c>
      <c r="J96" s="7">
        <f>F96*I96</f>
        <v/>
      </c>
      <c r="K96">
        <f>Resurse!D44</f>
        <v/>
      </c>
    </row>
    <row r="97">
      <c r="A97">
        <f>F3!A45</f>
        <v/>
      </c>
      <c r="B97">
        <f>F3!C45</f>
        <v/>
      </c>
      <c r="C97" t="inlineStr">
        <is>
          <t>O05</t>
        </is>
      </c>
      <c r="D97">
        <f>Resurse!B56</f>
        <v/>
      </c>
      <c r="E97">
        <f>Resurse!C56</f>
        <v/>
      </c>
      <c r="F97" s="17" t="n">
        <v>6.62069</v>
      </c>
      <c r="G97" s="6">
        <f>F3!E45</f>
        <v/>
      </c>
      <c r="H97" s="6">
        <f>F97*G97</f>
        <v/>
      </c>
      <c r="I97" s="7">
        <f>Resurse!E56</f>
        <v/>
      </c>
      <c r="J97" s="7">
        <f>F97*I97</f>
        <v/>
      </c>
      <c r="K97">
        <f>Resurse!D56</f>
        <v/>
      </c>
    </row>
    <row r="98">
      <c r="A98">
        <f>F3!A45</f>
        <v/>
      </c>
      <c r="B98">
        <f>F3!C45</f>
        <v/>
      </c>
      <c r="C98" t="inlineStr">
        <is>
          <t>O03</t>
        </is>
      </c>
      <c r="D98">
        <f>Resurse!B54</f>
        <v/>
      </c>
      <c r="E98">
        <f>Resurse!C54</f>
        <v/>
      </c>
      <c r="F98" s="17" t="n">
        <v>3.84638</v>
      </c>
      <c r="G98" s="6">
        <f>F3!E45</f>
        <v/>
      </c>
      <c r="H98" s="6">
        <f>F98*G98</f>
        <v/>
      </c>
      <c r="I98" s="7">
        <f>Resurse!E54</f>
        <v/>
      </c>
      <c r="J98" s="7">
        <f>F98*I98</f>
        <v/>
      </c>
      <c r="K98">
        <f>Resurse!D54</f>
        <v/>
      </c>
    </row>
    <row r="99">
      <c r="A99">
        <f>F3!A46</f>
        <v/>
      </c>
      <c r="B99">
        <f>F3!C46</f>
        <v/>
      </c>
      <c r="C99" t="inlineStr">
        <is>
          <t>M64</t>
        </is>
      </c>
      <c r="D99">
        <f>Resurse!B45</f>
        <v/>
      </c>
      <c r="E99">
        <f>Resurse!C45</f>
        <v/>
      </c>
      <c r="F99" s="17" t="n">
        <v>1</v>
      </c>
      <c r="G99" s="6">
        <f>F3!E46</f>
        <v/>
      </c>
      <c r="H99" s="6">
        <f>F99*G99</f>
        <v/>
      </c>
      <c r="I99" s="7">
        <f>Resurse!E45</f>
        <v/>
      </c>
      <c r="J99" s="7">
        <f>F99*I99</f>
        <v/>
      </c>
      <c r="K99">
        <f>Resurse!D45</f>
        <v/>
      </c>
    </row>
    <row r="100">
      <c r="A100">
        <f>F3!A46</f>
        <v/>
      </c>
      <c r="B100">
        <f>F3!C46</f>
        <v/>
      </c>
      <c r="C100" t="inlineStr">
        <is>
          <t>O05</t>
        </is>
      </c>
      <c r="D100">
        <f>Resurse!B56</f>
        <v/>
      </c>
      <c r="E100">
        <f>Resurse!C56</f>
        <v/>
      </c>
      <c r="F100" s="17" t="n">
        <v>4.41379</v>
      </c>
      <c r="G100" s="6">
        <f>F3!E46</f>
        <v/>
      </c>
      <c r="H100" s="6">
        <f>F100*G100</f>
        <v/>
      </c>
      <c r="I100" s="7">
        <f>Resurse!E56</f>
        <v/>
      </c>
      <c r="J100" s="7">
        <f>F100*I100</f>
        <v/>
      </c>
      <c r="K100">
        <f>Resurse!D56</f>
        <v/>
      </c>
    </row>
    <row r="101">
      <c r="A101">
        <f>F3!A50</f>
        <v/>
      </c>
      <c r="B101">
        <f>F3!C50</f>
        <v/>
      </c>
      <c r="C101" t="inlineStr">
        <is>
          <t>M21</t>
        </is>
      </c>
      <c r="D101">
        <f>Resurse!B25</f>
        <v/>
      </c>
      <c r="E101">
        <f>Resurse!C25</f>
        <v/>
      </c>
      <c r="F101" s="17" t="n">
        <v>1</v>
      </c>
      <c r="G101" s="6">
        <f>F3!E50</f>
        <v/>
      </c>
      <c r="H101" s="6">
        <f>F101*G101</f>
        <v/>
      </c>
      <c r="I101" s="7">
        <f>Resurse!E25</f>
        <v/>
      </c>
      <c r="J101" s="7">
        <f>F101*I101</f>
        <v/>
      </c>
      <c r="K101">
        <f>Resurse!D25</f>
        <v/>
      </c>
    </row>
    <row r="102">
      <c r="A102">
        <f>F3!A50</f>
        <v/>
      </c>
      <c r="B102">
        <f>F3!C50</f>
        <v/>
      </c>
      <c r="C102" t="inlineStr">
        <is>
          <t>M22</t>
        </is>
      </c>
      <c r="D102">
        <f>Resurse!B26</f>
        <v/>
      </c>
      <c r="E102">
        <f>Resurse!C26</f>
        <v/>
      </c>
      <c r="F102" s="17" t="n">
        <v>1.5</v>
      </c>
      <c r="G102" s="6">
        <f>F3!E50</f>
        <v/>
      </c>
      <c r="H102" s="6">
        <f>F102*G102</f>
        <v/>
      </c>
      <c r="I102" s="7">
        <f>Resurse!E26</f>
        <v/>
      </c>
      <c r="J102" s="7">
        <f>F102*I102</f>
        <v/>
      </c>
      <c r="K102">
        <f>Resurse!D26</f>
        <v/>
      </c>
    </row>
    <row r="103">
      <c r="A103">
        <f>F3!A50</f>
        <v/>
      </c>
      <c r="B103">
        <f>F3!C50</f>
        <v/>
      </c>
      <c r="C103" t="inlineStr">
        <is>
          <t>M17</t>
        </is>
      </c>
      <c r="D103">
        <f>Resurse!B21</f>
        <v/>
      </c>
      <c r="E103">
        <f>Resurse!C21</f>
        <v/>
      </c>
      <c r="F103" s="17" t="n">
        <v>0.03</v>
      </c>
      <c r="G103" s="6">
        <f>F3!E50</f>
        <v/>
      </c>
      <c r="H103" s="6">
        <f>F103*G103</f>
        <v/>
      </c>
      <c r="I103" s="7">
        <f>Resurse!E21</f>
        <v/>
      </c>
      <c r="J103" s="7">
        <f>F103*I103</f>
        <v/>
      </c>
      <c r="K103">
        <f>Resurse!D21</f>
        <v/>
      </c>
    </row>
    <row r="104">
      <c r="A104">
        <f>F3!A50</f>
        <v/>
      </c>
      <c r="B104">
        <f>F3!C50</f>
        <v/>
      </c>
      <c r="C104" t="inlineStr">
        <is>
          <t>O02</t>
        </is>
      </c>
      <c r="D104">
        <f>Resurse!B53</f>
        <v/>
      </c>
      <c r="E104">
        <f>Resurse!C53</f>
        <v/>
      </c>
      <c r="F104" s="17" t="n">
        <v>0.1166</v>
      </c>
      <c r="G104" s="6">
        <f>F3!E50</f>
        <v/>
      </c>
      <c r="H104" s="6">
        <f>F104*G104</f>
        <v/>
      </c>
      <c r="I104" s="7">
        <f>Resurse!E53</f>
        <v/>
      </c>
      <c r="J104" s="7">
        <f>F104*I104</f>
        <v/>
      </c>
      <c r="K104">
        <f>Resurse!D53</f>
        <v/>
      </c>
    </row>
    <row r="105">
      <c r="A105">
        <f>F3!A51</f>
        <v/>
      </c>
      <c r="B105">
        <f>F3!C51</f>
        <v/>
      </c>
      <c r="C105" t="inlineStr">
        <is>
          <t>M23</t>
        </is>
      </c>
      <c r="D105">
        <f>Resurse!B27</f>
        <v/>
      </c>
      <c r="E105">
        <f>Resurse!C27</f>
        <v/>
      </c>
      <c r="F105" s="17" t="n">
        <v>1</v>
      </c>
      <c r="G105" s="6">
        <f>F3!E51</f>
        <v/>
      </c>
      <c r="H105" s="6">
        <f>F105*G105</f>
        <v/>
      </c>
      <c r="I105" s="7">
        <f>Resurse!E27</f>
        <v/>
      </c>
      <c r="J105" s="7">
        <f>F105*I105</f>
        <v/>
      </c>
      <c r="K105">
        <f>Resurse!D27</f>
        <v/>
      </c>
    </row>
    <row r="106">
      <c r="A106">
        <f>F3!A51</f>
        <v/>
      </c>
      <c r="B106">
        <f>F3!C51</f>
        <v/>
      </c>
      <c r="C106" t="inlineStr">
        <is>
          <t>O02</t>
        </is>
      </c>
      <c r="D106">
        <f>Resurse!B53</f>
        <v/>
      </c>
      <c r="E106">
        <f>Resurse!C53</f>
        <v/>
      </c>
      <c r="F106" s="17" t="n">
        <v>0.08329</v>
      </c>
      <c r="G106" s="6">
        <f>F3!E51</f>
        <v/>
      </c>
      <c r="H106" s="6">
        <f>F106*G106</f>
        <v/>
      </c>
      <c r="I106" s="7">
        <f>Resurse!E53</f>
        <v/>
      </c>
      <c r="J106" s="7">
        <f>F106*I106</f>
        <v/>
      </c>
      <c r="K106">
        <f>Resurse!D53</f>
        <v/>
      </c>
    </row>
    <row r="107">
      <c r="A107">
        <f>F3!A52</f>
        <v/>
      </c>
      <c r="B107">
        <f>F3!C52</f>
        <v/>
      </c>
      <c r="C107" t="inlineStr">
        <is>
          <t>M24</t>
        </is>
      </c>
      <c r="D107">
        <f>Resurse!B28</f>
        <v/>
      </c>
      <c r="E107">
        <f>Resurse!C28</f>
        <v/>
      </c>
      <c r="F107" s="17" t="n">
        <v>1</v>
      </c>
      <c r="G107" s="6">
        <f>F3!E52</f>
        <v/>
      </c>
      <c r="H107" s="6">
        <f>F107*G107</f>
        <v/>
      </c>
      <c r="I107" s="7">
        <f>Resurse!E28</f>
        <v/>
      </c>
      <c r="J107" s="7">
        <f>F107*I107</f>
        <v/>
      </c>
      <c r="K107">
        <f>Resurse!D28</f>
        <v/>
      </c>
    </row>
    <row r="108">
      <c r="A108">
        <f>F3!A52</f>
        <v/>
      </c>
      <c r="B108">
        <f>F3!C52</f>
        <v/>
      </c>
      <c r="C108" t="inlineStr">
        <is>
          <t>O02</t>
        </is>
      </c>
      <c r="D108">
        <f>Resurse!B53</f>
        <v/>
      </c>
      <c r="E108">
        <f>Resurse!C53</f>
        <v/>
      </c>
      <c r="F108" s="17" t="n">
        <v>0.09994</v>
      </c>
      <c r="G108" s="6">
        <f>F3!E52</f>
        <v/>
      </c>
      <c r="H108" s="6">
        <f>F108*G108</f>
        <v/>
      </c>
      <c r="I108" s="7">
        <f>Resurse!E53</f>
        <v/>
      </c>
      <c r="J108" s="7">
        <f>F108*I108</f>
        <v/>
      </c>
      <c r="K108">
        <f>Resurse!D53</f>
        <v/>
      </c>
    </row>
    <row r="109">
      <c r="A109">
        <f>F3!A53</f>
        <v/>
      </c>
      <c r="B109">
        <f>F3!C53</f>
        <v/>
      </c>
      <c r="C109" t="inlineStr">
        <is>
          <t>M25</t>
        </is>
      </c>
      <c r="D109">
        <f>Resurse!B29</f>
        <v/>
      </c>
      <c r="E109">
        <f>Resurse!C29</f>
        <v/>
      </c>
      <c r="F109" s="17" t="n">
        <v>1</v>
      </c>
      <c r="G109" s="6">
        <f>F3!E53</f>
        <v/>
      </c>
      <c r="H109" s="6">
        <f>F109*G109</f>
        <v/>
      </c>
      <c r="I109" s="7">
        <f>Resurse!E29</f>
        <v/>
      </c>
      <c r="J109" s="7">
        <f>F109*I109</f>
        <v/>
      </c>
      <c r="K109">
        <f>Resurse!D29</f>
        <v/>
      </c>
    </row>
    <row r="110">
      <c r="A110">
        <f>F3!A53</f>
        <v/>
      </c>
      <c r="B110">
        <f>F3!C53</f>
        <v/>
      </c>
      <c r="C110" t="inlineStr">
        <is>
          <t>O02</t>
        </is>
      </c>
      <c r="D110">
        <f>Resurse!B53</f>
        <v/>
      </c>
      <c r="E110">
        <f>Resurse!C53</f>
        <v/>
      </c>
      <c r="F110" s="17" t="n">
        <v>0.08329</v>
      </c>
      <c r="G110" s="6">
        <f>F3!E53</f>
        <v/>
      </c>
      <c r="H110" s="6">
        <f>F110*G110</f>
        <v/>
      </c>
      <c r="I110" s="7">
        <f>Resurse!E53</f>
        <v/>
      </c>
      <c r="J110" s="7">
        <f>F110*I110</f>
        <v/>
      </c>
      <c r="K110">
        <f>Resurse!D53</f>
        <v/>
      </c>
    </row>
    <row r="111">
      <c r="A111">
        <f>F3!A54</f>
        <v/>
      </c>
      <c r="B111">
        <f>F3!C54</f>
        <v/>
      </c>
      <c r="C111" t="inlineStr">
        <is>
          <t>M26</t>
        </is>
      </c>
      <c r="D111">
        <f>Resurse!B30</f>
        <v/>
      </c>
      <c r="E111">
        <f>Resurse!C30</f>
        <v/>
      </c>
      <c r="F111" s="17" t="n">
        <v>1</v>
      </c>
      <c r="G111" s="6">
        <f>F3!E54</f>
        <v/>
      </c>
      <c r="H111" s="6">
        <f>F111*G111</f>
        <v/>
      </c>
      <c r="I111" s="7">
        <f>Resurse!E30</f>
        <v/>
      </c>
      <c r="J111" s="7">
        <f>F111*I111</f>
        <v/>
      </c>
      <c r="K111">
        <f>Resurse!D30</f>
        <v/>
      </c>
    </row>
    <row r="112">
      <c r="A112">
        <f>F3!A54</f>
        <v/>
      </c>
      <c r="B112">
        <f>F3!C54</f>
        <v/>
      </c>
      <c r="C112" t="inlineStr">
        <is>
          <t>O02</t>
        </is>
      </c>
      <c r="D112">
        <f>Resurse!B53</f>
        <v/>
      </c>
      <c r="E112">
        <f>Resurse!C53</f>
        <v/>
      </c>
      <c r="F112" s="17" t="n">
        <v>0.04997</v>
      </c>
      <c r="G112" s="6">
        <f>F3!E54</f>
        <v/>
      </c>
      <c r="H112" s="6">
        <f>F112*G112</f>
        <v/>
      </c>
      <c r="I112" s="7">
        <f>Resurse!E53</f>
        <v/>
      </c>
      <c r="J112" s="7">
        <f>F112*I112</f>
        <v/>
      </c>
      <c r="K112">
        <f>Resurse!D53</f>
        <v/>
      </c>
    </row>
    <row r="113">
      <c r="A113">
        <f>F3!A55</f>
        <v/>
      </c>
      <c r="B113">
        <f>F3!C55</f>
        <v/>
      </c>
      <c r="C113" t="inlineStr">
        <is>
          <t>M27</t>
        </is>
      </c>
      <c r="D113">
        <f>Resurse!B31</f>
        <v/>
      </c>
      <c r="E113">
        <f>Resurse!C31</f>
        <v/>
      </c>
      <c r="F113" s="17" t="n">
        <v>1</v>
      </c>
      <c r="G113" s="6">
        <f>F3!E55</f>
        <v/>
      </c>
      <c r="H113" s="6">
        <f>F113*G113</f>
        <v/>
      </c>
      <c r="I113" s="7">
        <f>Resurse!E31</f>
        <v/>
      </c>
      <c r="J113" s="7">
        <f>F113*I113</f>
        <v/>
      </c>
      <c r="K113">
        <f>Resurse!D31</f>
        <v/>
      </c>
    </row>
    <row r="114">
      <c r="A114">
        <f>F3!A55</f>
        <v/>
      </c>
      <c r="B114">
        <f>F3!C55</f>
        <v/>
      </c>
      <c r="C114" t="inlineStr">
        <is>
          <t>O02</t>
        </is>
      </c>
      <c r="D114">
        <f>Resurse!B53</f>
        <v/>
      </c>
      <c r="E114">
        <f>Resurse!C53</f>
        <v/>
      </c>
      <c r="F114" s="17" t="n">
        <v>0.04997</v>
      </c>
      <c r="G114" s="6">
        <f>F3!E55</f>
        <v/>
      </c>
      <c r="H114" s="6">
        <f>F114*G114</f>
        <v/>
      </c>
      <c r="I114" s="7">
        <f>Resurse!E53</f>
        <v/>
      </c>
      <c r="J114" s="7">
        <f>F114*I114</f>
        <v/>
      </c>
      <c r="K114">
        <f>Resurse!D53</f>
        <v/>
      </c>
    </row>
    <row r="115">
      <c r="A115">
        <f>F3!A56</f>
        <v/>
      </c>
      <c r="B115">
        <f>F3!C56</f>
        <v/>
      </c>
      <c r="C115" t="inlineStr">
        <is>
          <t>M28</t>
        </is>
      </c>
      <c r="D115">
        <f>Resurse!B32</f>
        <v/>
      </c>
      <c r="E115">
        <f>Resurse!C32</f>
        <v/>
      </c>
      <c r="F115" s="17" t="n">
        <v>1</v>
      </c>
      <c r="G115" s="6">
        <f>F3!E56</f>
        <v/>
      </c>
      <c r="H115" s="6">
        <f>F115*G115</f>
        <v/>
      </c>
      <c r="I115" s="7">
        <f>Resurse!E32</f>
        <v/>
      </c>
      <c r="J115" s="7">
        <f>F115*I115</f>
        <v/>
      </c>
      <c r="K115">
        <f>Resurse!D32</f>
        <v/>
      </c>
    </row>
    <row r="116">
      <c r="A116">
        <f>F3!A56</f>
        <v/>
      </c>
      <c r="B116">
        <f>F3!C56</f>
        <v/>
      </c>
      <c r="C116" t="inlineStr">
        <is>
          <t>O02</t>
        </is>
      </c>
      <c r="D116">
        <f>Resurse!B53</f>
        <v/>
      </c>
      <c r="E116">
        <f>Resurse!C53</f>
        <v/>
      </c>
      <c r="F116" s="17" t="n">
        <v>0.04997</v>
      </c>
      <c r="G116" s="6">
        <f>F3!E56</f>
        <v/>
      </c>
      <c r="H116" s="6">
        <f>F116*G116</f>
        <v/>
      </c>
      <c r="I116" s="7">
        <f>Resurse!E53</f>
        <v/>
      </c>
      <c r="J116" s="7">
        <f>F116*I116</f>
        <v/>
      </c>
      <c r="K116">
        <f>Resurse!D53</f>
        <v/>
      </c>
    </row>
    <row r="117">
      <c r="A117">
        <f>F3!A57</f>
        <v/>
      </c>
      <c r="B117">
        <f>F3!C57</f>
        <v/>
      </c>
      <c r="C117" t="inlineStr">
        <is>
          <t>M29</t>
        </is>
      </c>
      <c r="D117">
        <f>Resurse!B33</f>
        <v/>
      </c>
      <c r="E117">
        <f>Resurse!C33</f>
        <v/>
      </c>
      <c r="F117" s="17" t="n">
        <v>1</v>
      </c>
      <c r="G117" s="6">
        <f>F3!E57</f>
        <v/>
      </c>
      <c r="H117" s="6">
        <f>F117*G117</f>
        <v/>
      </c>
      <c r="I117" s="7">
        <f>Resurse!E33</f>
        <v/>
      </c>
      <c r="J117" s="7">
        <f>F117*I117</f>
        <v/>
      </c>
      <c r="K117">
        <f>Resurse!D33</f>
        <v/>
      </c>
    </row>
    <row r="118">
      <c r="A118">
        <f>F3!A57</f>
        <v/>
      </c>
      <c r="B118">
        <f>F3!C57</f>
        <v/>
      </c>
      <c r="C118" t="inlineStr">
        <is>
          <t>O02</t>
        </is>
      </c>
      <c r="D118">
        <f>Resurse!B53</f>
        <v/>
      </c>
      <c r="E118">
        <f>Resurse!C53</f>
        <v/>
      </c>
      <c r="F118" s="17" t="n">
        <v>0.03331</v>
      </c>
      <c r="G118" s="6">
        <f>F3!E57</f>
        <v/>
      </c>
      <c r="H118" s="6">
        <f>F118*G118</f>
        <v/>
      </c>
      <c r="I118" s="7">
        <f>Resurse!E53</f>
        <v/>
      </c>
      <c r="J118" s="7">
        <f>F118*I118</f>
        <v/>
      </c>
      <c r="K118">
        <f>Resurse!D53</f>
        <v/>
      </c>
    </row>
    <row r="119">
      <c r="A119">
        <f>F3!A58</f>
        <v/>
      </c>
      <c r="B119">
        <f>F3!C58</f>
        <v/>
      </c>
      <c r="C119" t="inlineStr">
        <is>
          <t>M65</t>
        </is>
      </c>
      <c r="D119">
        <f>Resurse!B46</f>
        <v/>
      </c>
      <c r="E119">
        <f>Resurse!C46</f>
        <v/>
      </c>
      <c r="F119" s="17" t="n">
        <v>1</v>
      </c>
      <c r="G119" s="6">
        <f>F3!E58</f>
        <v/>
      </c>
      <c r="H119" s="6">
        <f>F119*G119</f>
        <v/>
      </c>
      <c r="I119" s="7">
        <f>Resurse!E46</f>
        <v/>
      </c>
      <c r="J119" s="7">
        <f>F119*I119</f>
        <v/>
      </c>
      <c r="K119">
        <f>Resurse!D46</f>
        <v/>
      </c>
    </row>
    <row r="120">
      <c r="A120">
        <f>F3!A58</f>
        <v/>
      </c>
      <c r="B120">
        <f>F3!C58</f>
        <v/>
      </c>
      <c r="C120" t="inlineStr">
        <is>
          <t>O03</t>
        </is>
      </c>
      <c r="D120">
        <f>Resurse!B54</f>
        <v/>
      </c>
      <c r="E120">
        <f>Resurse!C54</f>
        <v/>
      </c>
      <c r="F120" s="17" t="n">
        <v>0.32053</v>
      </c>
      <c r="G120" s="6">
        <f>F3!E58</f>
        <v/>
      </c>
      <c r="H120" s="6">
        <f>F120*G120</f>
        <v/>
      </c>
      <c r="I120" s="7">
        <f>Resurse!E54</f>
        <v/>
      </c>
      <c r="J120" s="7">
        <f>F120*I120</f>
        <v/>
      </c>
      <c r="K120">
        <f>Resurse!D54</f>
        <v/>
      </c>
    </row>
    <row r="121">
      <c r="A121">
        <f>F3!A62</f>
        <v/>
      </c>
      <c r="B121">
        <f>F3!C62</f>
        <v/>
      </c>
      <c r="C121" t="inlineStr">
        <is>
          <t>M70</t>
        </is>
      </c>
      <c r="D121">
        <f>Resurse!B47</f>
        <v/>
      </c>
      <c r="E121">
        <f>Resurse!C47</f>
        <v/>
      </c>
      <c r="F121" s="17" t="n">
        <v>5</v>
      </c>
      <c r="G121" s="6">
        <f>F3!E62</f>
        <v/>
      </c>
      <c r="H121" s="6">
        <f>F121*G121</f>
        <v/>
      </c>
      <c r="I121" s="7">
        <f>Resurse!E47</f>
        <v/>
      </c>
      <c r="J121" s="7">
        <f>F121*I121</f>
        <v/>
      </c>
      <c r="K121">
        <f>Resurse!D47</f>
        <v/>
      </c>
    </row>
    <row r="122">
      <c r="A122">
        <f>F3!A62</f>
        <v/>
      </c>
      <c r="B122">
        <f>F3!C62</f>
        <v/>
      </c>
      <c r="C122" t="inlineStr">
        <is>
          <t>M71</t>
        </is>
      </c>
      <c r="D122">
        <f>Resurse!B48</f>
        <v/>
      </c>
      <c r="E122">
        <f>Resurse!C48</f>
        <v/>
      </c>
      <c r="F122" s="17" t="n">
        <v>5</v>
      </c>
      <c r="G122" s="6">
        <f>F3!E62</f>
        <v/>
      </c>
      <c r="H122" s="6">
        <f>F122*G122</f>
        <v/>
      </c>
      <c r="I122" s="7">
        <f>Resurse!E48</f>
        <v/>
      </c>
      <c r="J122" s="7">
        <f>F122*I122</f>
        <v/>
      </c>
      <c r="K122">
        <f>Resurse!D48</f>
        <v/>
      </c>
    </row>
    <row r="123">
      <c r="A123">
        <f>F3!A62</f>
        <v/>
      </c>
      <c r="B123">
        <f>F3!C62</f>
        <v/>
      </c>
      <c r="C123" t="inlineStr">
        <is>
          <t>O04</t>
        </is>
      </c>
      <c r="D123">
        <f>Resurse!B55</f>
        <v/>
      </c>
      <c r="E123">
        <f>Resurse!C55</f>
        <v/>
      </c>
      <c r="F123" s="17" t="n">
        <v>0.72825</v>
      </c>
      <c r="G123" s="6">
        <f>F3!E62</f>
        <v/>
      </c>
      <c r="H123" s="6">
        <f>F123*G123</f>
        <v/>
      </c>
      <c r="I123" s="7">
        <f>Resurse!E55</f>
        <v/>
      </c>
      <c r="J123" s="7">
        <f>F123*I123</f>
        <v/>
      </c>
      <c r="K123">
        <f>Resurse!D55</f>
        <v/>
      </c>
    </row>
    <row r="124">
      <c r="A124">
        <f>F3!A62</f>
        <v/>
      </c>
      <c r="B124">
        <f>F3!C62</f>
        <v/>
      </c>
      <c r="C124" t="inlineStr">
        <is>
          <t>O03</t>
        </is>
      </c>
      <c r="D124">
        <f>Resurse!B54</f>
        <v/>
      </c>
      <c r="E124">
        <f>Resurse!C54</f>
        <v/>
      </c>
      <c r="F124" s="17" t="n">
        <v>0.76928</v>
      </c>
      <c r="G124" s="6">
        <f>F3!E62</f>
        <v/>
      </c>
      <c r="H124" s="6">
        <f>F124*G124</f>
        <v/>
      </c>
      <c r="I124" s="7">
        <f>Resurse!E54</f>
        <v/>
      </c>
      <c r="J124" s="7">
        <f>F124*I124</f>
        <v/>
      </c>
      <c r="K124">
        <f>Resurse!D54</f>
        <v/>
      </c>
    </row>
    <row r="125">
      <c r="A125">
        <f>F3!A63</f>
        <v/>
      </c>
      <c r="B125">
        <f>F3!C63</f>
        <v/>
      </c>
      <c r="C125" t="inlineStr">
        <is>
          <t>M71</t>
        </is>
      </c>
      <c r="D125">
        <f>Resurse!B48</f>
        <v/>
      </c>
      <c r="E125">
        <f>Resurse!C48</f>
        <v/>
      </c>
      <c r="F125" s="17" t="n">
        <v>2.5</v>
      </c>
      <c r="G125" s="6">
        <f>F3!E63</f>
        <v/>
      </c>
      <c r="H125" s="6">
        <f>F125*G125</f>
        <v/>
      </c>
      <c r="I125" s="7">
        <f>Resurse!E48</f>
        <v/>
      </c>
      <c r="J125" s="7">
        <f>F125*I125</f>
        <v/>
      </c>
      <c r="K125">
        <f>Resurse!D48</f>
        <v/>
      </c>
    </row>
    <row r="126">
      <c r="A126">
        <f>F3!A63</f>
        <v/>
      </c>
      <c r="B126">
        <f>F3!C63</f>
        <v/>
      </c>
      <c r="C126" t="inlineStr">
        <is>
          <t>M72</t>
        </is>
      </c>
      <c r="D126">
        <f>Resurse!B49</f>
        <v/>
      </c>
      <c r="E126">
        <f>Resurse!C49</f>
        <v/>
      </c>
      <c r="F126" s="17" t="n">
        <v>0.3</v>
      </c>
      <c r="G126" s="6">
        <f>F3!E63</f>
        <v/>
      </c>
      <c r="H126" s="6">
        <f>F126*G126</f>
        <v/>
      </c>
      <c r="I126" s="7">
        <f>Resurse!E49</f>
        <v/>
      </c>
      <c r="J126" s="7">
        <f>F126*I126</f>
        <v/>
      </c>
      <c r="K126">
        <f>Resurse!D49</f>
        <v/>
      </c>
    </row>
    <row r="127">
      <c r="A127">
        <f>F3!A63</f>
        <v/>
      </c>
      <c r="B127">
        <f>F3!C63</f>
        <v/>
      </c>
      <c r="C127" t="inlineStr">
        <is>
          <t>O04</t>
        </is>
      </c>
      <c r="D127">
        <f>Resurse!B55</f>
        <v/>
      </c>
      <c r="E127">
        <f>Resurse!C55</f>
        <v/>
      </c>
      <c r="F127" s="17" t="n">
        <v>0.33102</v>
      </c>
      <c r="G127" s="6">
        <f>F3!E63</f>
        <v/>
      </c>
      <c r="H127" s="6">
        <f>F127*G127</f>
        <v/>
      </c>
      <c r="I127" s="7">
        <f>Resurse!E55</f>
        <v/>
      </c>
      <c r="J127" s="7">
        <f>F127*I127</f>
        <v/>
      </c>
      <c r="K127">
        <f>Resurse!D55</f>
        <v/>
      </c>
    </row>
    <row r="128">
      <c r="A128">
        <f>F3!A63</f>
        <v/>
      </c>
      <c r="B128">
        <f>F3!C63</f>
        <v/>
      </c>
      <c r="C128" t="inlineStr">
        <is>
          <t>O03</t>
        </is>
      </c>
      <c r="D128">
        <f>Resurse!B54</f>
        <v/>
      </c>
      <c r="E128">
        <f>Resurse!C54</f>
        <v/>
      </c>
      <c r="F128" s="17" t="n">
        <v>0.19232</v>
      </c>
      <c r="G128" s="6">
        <f>F3!E63</f>
        <v/>
      </c>
      <c r="H128" s="6">
        <f>F128*G128</f>
        <v/>
      </c>
      <c r="I128" s="7">
        <f>Resurse!E54</f>
        <v/>
      </c>
      <c r="J128" s="7">
        <f>F128*I128</f>
        <v/>
      </c>
      <c r="K128">
        <f>Resurse!D54</f>
        <v/>
      </c>
    </row>
    <row r="129">
      <c r="A129">
        <f>F3!A64</f>
        <v/>
      </c>
      <c r="B129">
        <f>F3!C64</f>
        <v/>
      </c>
      <c r="C129" t="inlineStr">
        <is>
          <t>M73</t>
        </is>
      </c>
      <c r="D129">
        <f>Resurse!B50</f>
        <v/>
      </c>
      <c r="E129">
        <f>Resurse!C50</f>
        <v/>
      </c>
      <c r="F129" s="17" t="n">
        <v>1</v>
      </c>
      <c r="G129" s="6">
        <f>F3!E64</f>
        <v/>
      </c>
      <c r="H129" s="6">
        <f>F129*G129</f>
        <v/>
      </c>
      <c r="I129" s="7">
        <f>Resurse!E50</f>
        <v/>
      </c>
      <c r="J129" s="7">
        <f>F129*I129</f>
        <v/>
      </c>
      <c r="K129">
        <f>Resurse!D50</f>
        <v/>
      </c>
    </row>
    <row r="130">
      <c r="A130">
        <f>F3!A64</f>
        <v/>
      </c>
      <c r="B130">
        <f>F3!C64</f>
        <v/>
      </c>
      <c r="C130" t="inlineStr">
        <is>
          <t>O02</t>
        </is>
      </c>
      <c r="D130">
        <f>Resurse!B53</f>
        <v/>
      </c>
      <c r="E130">
        <f>Resurse!C53</f>
        <v/>
      </c>
      <c r="F130" s="17" t="n">
        <v>1.33257</v>
      </c>
      <c r="G130" s="6">
        <f>F3!E64</f>
        <v/>
      </c>
      <c r="H130" s="6">
        <f>F130*G130</f>
        <v/>
      </c>
      <c r="I130" s="7">
        <f>Resurse!E53</f>
        <v/>
      </c>
      <c r="J130" s="7">
        <f>F130*I130</f>
        <v/>
      </c>
      <c r="K130">
        <f>Resurse!D53</f>
        <v/>
      </c>
    </row>
    <row r="131">
      <c r="A131">
        <f>F3!A64</f>
        <v/>
      </c>
      <c r="B131">
        <f>F3!C64</f>
        <v/>
      </c>
      <c r="C131" t="inlineStr">
        <is>
          <t>O03</t>
        </is>
      </c>
      <c r="D131">
        <f>Resurse!B54</f>
        <v/>
      </c>
      <c r="E131">
        <f>Resurse!C54</f>
        <v/>
      </c>
      <c r="F131" s="17" t="n">
        <v>1.28213</v>
      </c>
      <c r="G131" s="6">
        <f>F3!E64</f>
        <v/>
      </c>
      <c r="H131" s="6">
        <f>F131*G131</f>
        <v/>
      </c>
      <c r="I131" s="7">
        <f>Resurse!E54</f>
        <v/>
      </c>
      <c r="J131" s="7">
        <f>F131*I131</f>
        <v/>
      </c>
      <c r="K131">
        <f>Resurse!D54</f>
        <v/>
      </c>
    </row>
    <row r="132">
      <c r="A132">
        <f>F3!A65</f>
        <v/>
      </c>
      <c r="B132">
        <f>F3!C65</f>
        <v/>
      </c>
      <c r="C132" t="inlineStr">
        <is>
          <t>M75</t>
        </is>
      </c>
      <c r="D132">
        <f>Resurse!B51</f>
        <v/>
      </c>
      <c r="E132">
        <f>Resurse!C51</f>
        <v/>
      </c>
      <c r="F132" s="17" t="n">
        <v>1.3</v>
      </c>
      <c r="G132" s="6">
        <f>F3!E65</f>
        <v/>
      </c>
      <c r="H132" s="6">
        <f>F132*G132</f>
        <v/>
      </c>
      <c r="I132" s="7">
        <f>Resurse!E51</f>
        <v/>
      </c>
      <c r="J132" s="7">
        <f>F132*I132</f>
        <v/>
      </c>
      <c r="K132">
        <f>Resurse!D51</f>
        <v/>
      </c>
    </row>
    <row r="133">
      <c r="A133">
        <f>F3!A65</f>
        <v/>
      </c>
      <c r="B133">
        <f>F3!C65</f>
        <v/>
      </c>
      <c r="C133" t="inlineStr">
        <is>
          <t>M09</t>
        </is>
      </c>
      <c r="D133">
        <f>Resurse!B14</f>
        <v/>
      </c>
      <c r="E133">
        <f>Resurse!C14</f>
        <v/>
      </c>
      <c r="F133" s="17" t="n">
        <v>0.2</v>
      </c>
      <c r="G133" s="6">
        <f>F3!E65</f>
        <v/>
      </c>
      <c r="H133" s="6">
        <f>F133*G133</f>
        <v/>
      </c>
      <c r="I133" s="7">
        <f>Resurse!E14</f>
        <v/>
      </c>
      <c r="J133" s="7">
        <f>F133*I133</f>
        <v/>
      </c>
      <c r="K133">
        <f>Resurse!D14</f>
        <v/>
      </c>
    </row>
    <row r="134">
      <c r="A134">
        <f>F3!A65</f>
        <v/>
      </c>
      <c r="B134">
        <f>F3!C65</f>
        <v/>
      </c>
      <c r="C134" t="inlineStr">
        <is>
          <t>O02</t>
        </is>
      </c>
      <c r="D134">
        <f>Resurse!B53</f>
        <v/>
      </c>
      <c r="E134">
        <f>Resurse!C53</f>
        <v/>
      </c>
      <c r="F134" s="17" t="n">
        <v>0.83286</v>
      </c>
      <c r="G134" s="6">
        <f>F3!E65</f>
        <v/>
      </c>
      <c r="H134" s="6">
        <f>F134*G134</f>
        <v/>
      </c>
      <c r="I134" s="7">
        <f>Resurse!E53</f>
        <v/>
      </c>
      <c r="J134" s="7">
        <f>F134*I134</f>
        <v/>
      </c>
      <c r="K134">
        <f>Resurse!D53</f>
        <v/>
      </c>
    </row>
    <row r="135">
      <c r="A135">
        <f>F3!A66</f>
        <v/>
      </c>
      <c r="B135">
        <f>F3!C66</f>
        <v/>
      </c>
      <c r="C135" t="inlineStr">
        <is>
          <t>M20</t>
        </is>
      </c>
      <c r="D135">
        <f>Resurse!B24</f>
        <v/>
      </c>
      <c r="E135">
        <f>Resurse!C24</f>
        <v/>
      </c>
      <c r="F135" s="17" t="n">
        <v>2.4</v>
      </c>
      <c r="G135" s="6">
        <f>F3!E66</f>
        <v/>
      </c>
      <c r="H135" s="6">
        <f>F135*G135</f>
        <v/>
      </c>
      <c r="I135" s="7">
        <f>Resurse!E24</f>
        <v/>
      </c>
      <c r="J135" s="7">
        <f>F135*I135</f>
        <v/>
      </c>
      <c r="K135">
        <f>Resurse!D24</f>
        <v/>
      </c>
    </row>
    <row r="136">
      <c r="A136">
        <f>F3!A66</f>
        <v/>
      </c>
      <c r="B136">
        <f>F3!C66</f>
        <v/>
      </c>
      <c r="C136" t="inlineStr">
        <is>
          <t>M09</t>
        </is>
      </c>
      <c r="D136">
        <f>Resurse!B14</f>
        <v/>
      </c>
      <c r="E136">
        <f>Resurse!C14</f>
        <v/>
      </c>
      <c r="F136" s="17" t="n">
        <v>0.2</v>
      </c>
      <c r="G136" s="6">
        <f>F3!E66</f>
        <v/>
      </c>
      <c r="H136" s="6">
        <f>F136*G136</f>
        <v/>
      </c>
      <c r="I136" s="7">
        <f>Resurse!E14</f>
        <v/>
      </c>
      <c r="J136" s="7">
        <f>F136*I136</f>
        <v/>
      </c>
      <c r="K136">
        <f>Resurse!D14</f>
        <v/>
      </c>
    </row>
    <row r="137">
      <c r="A137">
        <f>F3!A66</f>
        <v/>
      </c>
      <c r="B137">
        <f>F3!C66</f>
        <v/>
      </c>
      <c r="C137" t="inlineStr">
        <is>
          <t>M17</t>
        </is>
      </c>
      <c r="D137">
        <f>Resurse!B21</f>
        <v/>
      </c>
      <c r="E137">
        <f>Resurse!C21</f>
        <v/>
      </c>
      <c r="F137" s="17" t="n">
        <v>0.3</v>
      </c>
      <c r="G137" s="6">
        <f>F3!E66</f>
        <v/>
      </c>
      <c r="H137" s="6">
        <f>F137*G137</f>
        <v/>
      </c>
      <c r="I137" s="7">
        <f>Resurse!E21</f>
        <v/>
      </c>
      <c r="J137" s="7">
        <f>F137*I137</f>
        <v/>
      </c>
      <c r="K137">
        <f>Resurse!D21</f>
        <v/>
      </c>
    </row>
    <row r="138">
      <c r="A138">
        <f>F3!A66</f>
        <v/>
      </c>
      <c r="B138">
        <f>F3!C66</f>
        <v/>
      </c>
      <c r="C138" t="inlineStr">
        <is>
          <t>O02</t>
        </is>
      </c>
      <c r="D138">
        <f>Resurse!B53</f>
        <v/>
      </c>
      <c r="E138">
        <f>Resurse!C53</f>
        <v/>
      </c>
      <c r="F138" s="17" t="n">
        <v>0.99943</v>
      </c>
      <c r="G138" s="6">
        <f>F3!E66</f>
        <v/>
      </c>
      <c r="H138" s="6">
        <f>F138*G138</f>
        <v/>
      </c>
      <c r="I138" s="7">
        <f>Resurse!E53</f>
        <v/>
      </c>
      <c r="J138" s="7">
        <f>F138*I138</f>
        <v/>
      </c>
      <c r="K138">
        <f>Resurse!D53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C6 – Lista consumurilor de resurse materiale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Cantitate totală</t>
        </is>
      </c>
      <c r="E6" s="3" t="inlineStr">
        <is>
          <t>Preț unitar (lei)</t>
        </is>
      </c>
      <c r="F6" s="3" t="inlineStr">
        <is>
          <t>Valoare (lei, fără TVA)</t>
        </is>
      </c>
    </row>
    <row r="7">
      <c r="A7" t="n">
        <v>1</v>
      </c>
      <c r="B7">
        <f>Resurse!B7</f>
        <v/>
      </c>
      <c r="C7">
        <f>Resurse!C7</f>
        <v/>
      </c>
      <c r="D7" s="6">
        <f>SUMIFS(Analiza!$H$7:$H$138,Analiza!$C$7:$C$138,Resurse!$A$7)</f>
        <v/>
      </c>
      <c r="E7" s="7">
        <f>Resurse!E7</f>
        <v/>
      </c>
      <c r="F7" s="7">
        <f>ROUND(D7*E7,2)</f>
        <v/>
      </c>
    </row>
    <row r="8">
      <c r="A8" t="n">
        <v>2</v>
      </c>
      <c r="B8">
        <f>Resurse!B8</f>
        <v/>
      </c>
      <c r="C8">
        <f>Resurse!C8</f>
        <v/>
      </c>
      <c r="D8" s="6">
        <f>SUMIFS(Analiza!$H$7:$H$138,Analiza!$C$7:$C$138,Resurse!$A$8)</f>
        <v/>
      </c>
      <c r="E8" s="7">
        <f>Resurse!E8</f>
        <v/>
      </c>
      <c r="F8" s="7">
        <f>ROUND(D8*E8,2)</f>
        <v/>
      </c>
    </row>
    <row r="9">
      <c r="A9" t="n">
        <v>3</v>
      </c>
      <c r="B9">
        <f>Resurse!B9</f>
        <v/>
      </c>
      <c r="C9">
        <f>Resurse!C9</f>
        <v/>
      </c>
      <c r="D9" s="6">
        <f>SUMIFS(Analiza!$H$7:$H$138,Analiza!$C$7:$C$138,Resurse!$A$9)</f>
        <v/>
      </c>
      <c r="E9" s="7">
        <f>Resurse!E9</f>
        <v/>
      </c>
      <c r="F9" s="7">
        <f>ROUND(D9*E9,2)</f>
        <v/>
      </c>
    </row>
    <row r="10">
      <c r="A10" t="n">
        <v>4</v>
      </c>
      <c r="B10">
        <f>Resurse!B10</f>
        <v/>
      </c>
      <c r="C10">
        <f>Resurse!C10</f>
        <v/>
      </c>
      <c r="D10" s="6">
        <f>SUMIFS(Analiza!$H$7:$H$138,Analiza!$C$7:$C$138,Resurse!$A$10)</f>
        <v/>
      </c>
      <c r="E10" s="7">
        <f>Resurse!E10</f>
        <v/>
      </c>
      <c r="F10" s="7">
        <f>ROUND(D10*E10,2)</f>
        <v/>
      </c>
    </row>
    <row r="11">
      <c r="A11" t="n">
        <v>5</v>
      </c>
      <c r="B11">
        <f>Resurse!B11</f>
        <v/>
      </c>
      <c r="C11">
        <f>Resurse!C11</f>
        <v/>
      </c>
      <c r="D11" s="6">
        <f>SUMIFS(Analiza!$H$7:$H$138,Analiza!$C$7:$C$138,Resurse!$A$11)</f>
        <v/>
      </c>
      <c r="E11" s="7">
        <f>Resurse!E11</f>
        <v/>
      </c>
      <c r="F11" s="7">
        <f>ROUND(D11*E11,2)</f>
        <v/>
      </c>
    </row>
    <row r="12">
      <c r="A12" t="n">
        <v>6</v>
      </c>
      <c r="B12">
        <f>Resurse!B12</f>
        <v/>
      </c>
      <c r="C12">
        <f>Resurse!C12</f>
        <v/>
      </c>
      <c r="D12" s="6">
        <f>SUMIFS(Analiza!$H$7:$H$138,Analiza!$C$7:$C$138,Resurse!$A$12)</f>
        <v/>
      </c>
      <c r="E12" s="7">
        <f>Resurse!E12</f>
        <v/>
      </c>
      <c r="F12" s="7">
        <f>ROUND(D12*E12,2)</f>
        <v/>
      </c>
    </row>
    <row r="13">
      <c r="A13" t="n">
        <v>7</v>
      </c>
      <c r="B13">
        <f>Resurse!B13</f>
        <v/>
      </c>
      <c r="C13">
        <f>Resurse!C13</f>
        <v/>
      </c>
      <c r="D13" s="6">
        <f>SUMIFS(Analiza!$H$7:$H$138,Analiza!$C$7:$C$138,Resurse!$A$13)</f>
        <v/>
      </c>
      <c r="E13" s="7">
        <f>Resurse!E13</f>
        <v/>
      </c>
      <c r="F13" s="7">
        <f>ROUND(D13*E13,2)</f>
        <v/>
      </c>
    </row>
    <row r="14">
      <c r="A14" t="n">
        <v>8</v>
      </c>
      <c r="B14">
        <f>Resurse!B14</f>
        <v/>
      </c>
      <c r="C14">
        <f>Resurse!C14</f>
        <v/>
      </c>
      <c r="D14" s="6">
        <f>SUMIFS(Analiza!$H$7:$H$138,Analiza!$C$7:$C$138,Resurse!$A$14)</f>
        <v/>
      </c>
      <c r="E14" s="7">
        <f>Resurse!E14</f>
        <v/>
      </c>
      <c r="F14" s="7">
        <f>ROUND(D14*E14,2)</f>
        <v/>
      </c>
    </row>
    <row r="15">
      <c r="A15" t="n">
        <v>9</v>
      </c>
      <c r="B15">
        <f>Resurse!B15</f>
        <v/>
      </c>
      <c r="C15">
        <f>Resurse!C15</f>
        <v/>
      </c>
      <c r="D15" s="6">
        <f>SUMIFS(Analiza!$H$7:$H$138,Analiza!$C$7:$C$138,Resurse!$A$15)</f>
        <v/>
      </c>
      <c r="E15" s="7">
        <f>Resurse!E15</f>
        <v/>
      </c>
      <c r="F15" s="7">
        <f>ROUND(D15*E15,2)</f>
        <v/>
      </c>
    </row>
    <row r="16">
      <c r="A16" t="n">
        <v>10</v>
      </c>
      <c r="B16">
        <f>Resurse!B16</f>
        <v/>
      </c>
      <c r="C16">
        <f>Resurse!C16</f>
        <v/>
      </c>
      <c r="D16" s="6">
        <f>SUMIFS(Analiza!$H$7:$H$138,Analiza!$C$7:$C$138,Resurse!$A$16)</f>
        <v/>
      </c>
      <c r="E16" s="7">
        <f>Resurse!E16</f>
        <v/>
      </c>
      <c r="F16" s="7">
        <f>ROUND(D16*E16,2)</f>
        <v/>
      </c>
    </row>
    <row r="17">
      <c r="A17" t="n">
        <v>11</v>
      </c>
      <c r="B17">
        <f>Resurse!B17</f>
        <v/>
      </c>
      <c r="C17">
        <f>Resurse!C17</f>
        <v/>
      </c>
      <c r="D17" s="6">
        <f>SUMIFS(Analiza!$H$7:$H$138,Analiza!$C$7:$C$138,Resurse!$A$17)</f>
        <v/>
      </c>
      <c r="E17" s="7">
        <f>Resurse!E17</f>
        <v/>
      </c>
      <c r="F17" s="7">
        <f>ROUND(D17*E17,2)</f>
        <v/>
      </c>
    </row>
    <row r="18">
      <c r="A18" t="n">
        <v>12</v>
      </c>
      <c r="B18">
        <f>Resurse!B18</f>
        <v/>
      </c>
      <c r="C18">
        <f>Resurse!C18</f>
        <v/>
      </c>
      <c r="D18" s="6">
        <f>SUMIFS(Analiza!$H$7:$H$138,Analiza!$C$7:$C$138,Resurse!$A$18)</f>
        <v/>
      </c>
      <c r="E18" s="7">
        <f>Resurse!E18</f>
        <v/>
      </c>
      <c r="F18" s="7">
        <f>ROUND(D18*E18,2)</f>
        <v/>
      </c>
    </row>
    <row r="19">
      <c r="A19" t="n">
        <v>13</v>
      </c>
      <c r="B19">
        <f>Resurse!B19</f>
        <v/>
      </c>
      <c r="C19">
        <f>Resurse!C19</f>
        <v/>
      </c>
      <c r="D19" s="6">
        <f>SUMIFS(Analiza!$H$7:$H$138,Analiza!$C$7:$C$138,Resurse!$A$19)</f>
        <v/>
      </c>
      <c r="E19" s="7">
        <f>Resurse!E19</f>
        <v/>
      </c>
      <c r="F19" s="7">
        <f>ROUND(D19*E19,2)</f>
        <v/>
      </c>
    </row>
    <row r="20">
      <c r="A20" t="n">
        <v>14</v>
      </c>
      <c r="B20">
        <f>Resurse!B20</f>
        <v/>
      </c>
      <c r="C20">
        <f>Resurse!C20</f>
        <v/>
      </c>
      <c r="D20" s="6">
        <f>SUMIFS(Analiza!$H$7:$H$138,Analiza!$C$7:$C$138,Resurse!$A$20)</f>
        <v/>
      </c>
      <c r="E20" s="7">
        <f>Resurse!E20</f>
        <v/>
      </c>
      <c r="F20" s="7">
        <f>ROUND(D20*E20,2)</f>
        <v/>
      </c>
    </row>
    <row r="21">
      <c r="A21" t="n">
        <v>15</v>
      </c>
      <c r="B21">
        <f>Resurse!B21</f>
        <v/>
      </c>
      <c r="C21">
        <f>Resurse!C21</f>
        <v/>
      </c>
      <c r="D21" s="6">
        <f>SUMIFS(Analiza!$H$7:$H$138,Analiza!$C$7:$C$138,Resurse!$A$21)</f>
        <v/>
      </c>
      <c r="E21" s="7">
        <f>Resurse!E21</f>
        <v/>
      </c>
      <c r="F21" s="7">
        <f>ROUND(D21*E21,2)</f>
        <v/>
      </c>
    </row>
    <row r="22">
      <c r="A22" t="n">
        <v>16</v>
      </c>
      <c r="B22">
        <f>Resurse!B22</f>
        <v/>
      </c>
      <c r="C22">
        <f>Resurse!C22</f>
        <v/>
      </c>
      <c r="D22" s="6">
        <f>SUMIFS(Analiza!$H$7:$H$138,Analiza!$C$7:$C$138,Resurse!$A$22)</f>
        <v/>
      </c>
      <c r="E22" s="7">
        <f>Resurse!E22</f>
        <v/>
      </c>
      <c r="F22" s="7">
        <f>ROUND(D22*E22,2)</f>
        <v/>
      </c>
    </row>
    <row r="23">
      <c r="A23" t="n">
        <v>17</v>
      </c>
      <c r="B23">
        <f>Resurse!B23</f>
        <v/>
      </c>
      <c r="C23">
        <f>Resurse!C23</f>
        <v/>
      </c>
      <c r="D23" s="6">
        <f>SUMIFS(Analiza!$H$7:$H$138,Analiza!$C$7:$C$138,Resurse!$A$23)</f>
        <v/>
      </c>
      <c r="E23" s="7">
        <f>Resurse!E23</f>
        <v/>
      </c>
      <c r="F23" s="7">
        <f>ROUND(D23*E23,2)</f>
        <v/>
      </c>
    </row>
    <row r="24">
      <c r="A24" t="n">
        <v>18</v>
      </c>
      <c r="B24">
        <f>Resurse!B24</f>
        <v/>
      </c>
      <c r="C24">
        <f>Resurse!C24</f>
        <v/>
      </c>
      <c r="D24" s="6">
        <f>SUMIFS(Analiza!$H$7:$H$138,Analiza!$C$7:$C$138,Resurse!$A$24)</f>
        <v/>
      </c>
      <c r="E24" s="7">
        <f>Resurse!E24</f>
        <v/>
      </c>
      <c r="F24" s="7">
        <f>ROUND(D24*E24,2)</f>
        <v/>
      </c>
    </row>
    <row r="25">
      <c r="A25" t="n">
        <v>19</v>
      </c>
      <c r="B25">
        <f>Resurse!B25</f>
        <v/>
      </c>
      <c r="C25">
        <f>Resurse!C25</f>
        <v/>
      </c>
      <c r="D25" s="6">
        <f>SUMIFS(Analiza!$H$7:$H$138,Analiza!$C$7:$C$138,Resurse!$A$25)</f>
        <v/>
      </c>
      <c r="E25" s="7">
        <f>Resurse!E25</f>
        <v/>
      </c>
      <c r="F25" s="7">
        <f>ROUND(D25*E25,2)</f>
        <v/>
      </c>
    </row>
    <row r="26">
      <c r="A26" t="n">
        <v>20</v>
      </c>
      <c r="B26">
        <f>Resurse!B26</f>
        <v/>
      </c>
      <c r="C26">
        <f>Resurse!C26</f>
        <v/>
      </c>
      <c r="D26" s="6">
        <f>SUMIFS(Analiza!$H$7:$H$138,Analiza!$C$7:$C$138,Resurse!$A$26)</f>
        <v/>
      </c>
      <c r="E26" s="7">
        <f>Resurse!E26</f>
        <v/>
      </c>
      <c r="F26" s="7">
        <f>ROUND(D26*E26,2)</f>
        <v/>
      </c>
    </row>
    <row r="27">
      <c r="A27" t="n">
        <v>21</v>
      </c>
      <c r="B27">
        <f>Resurse!B27</f>
        <v/>
      </c>
      <c r="C27">
        <f>Resurse!C27</f>
        <v/>
      </c>
      <c r="D27" s="6">
        <f>SUMIFS(Analiza!$H$7:$H$138,Analiza!$C$7:$C$138,Resurse!$A$27)</f>
        <v/>
      </c>
      <c r="E27" s="7">
        <f>Resurse!E27</f>
        <v/>
      </c>
      <c r="F27" s="7">
        <f>ROUND(D27*E27,2)</f>
        <v/>
      </c>
    </row>
    <row r="28">
      <c r="A28" t="n">
        <v>22</v>
      </c>
      <c r="B28">
        <f>Resurse!B28</f>
        <v/>
      </c>
      <c r="C28">
        <f>Resurse!C28</f>
        <v/>
      </c>
      <c r="D28" s="6">
        <f>SUMIFS(Analiza!$H$7:$H$138,Analiza!$C$7:$C$138,Resurse!$A$28)</f>
        <v/>
      </c>
      <c r="E28" s="7">
        <f>Resurse!E28</f>
        <v/>
      </c>
      <c r="F28" s="7">
        <f>ROUND(D28*E28,2)</f>
        <v/>
      </c>
    </row>
    <row r="29">
      <c r="A29" t="n">
        <v>23</v>
      </c>
      <c r="B29">
        <f>Resurse!B29</f>
        <v/>
      </c>
      <c r="C29">
        <f>Resurse!C29</f>
        <v/>
      </c>
      <c r="D29" s="6">
        <f>SUMIFS(Analiza!$H$7:$H$138,Analiza!$C$7:$C$138,Resurse!$A$29)</f>
        <v/>
      </c>
      <c r="E29" s="7">
        <f>Resurse!E29</f>
        <v/>
      </c>
      <c r="F29" s="7">
        <f>ROUND(D29*E29,2)</f>
        <v/>
      </c>
    </row>
    <row r="30">
      <c r="A30" t="n">
        <v>24</v>
      </c>
      <c r="B30">
        <f>Resurse!B30</f>
        <v/>
      </c>
      <c r="C30">
        <f>Resurse!C30</f>
        <v/>
      </c>
      <c r="D30" s="6">
        <f>SUMIFS(Analiza!$H$7:$H$138,Analiza!$C$7:$C$138,Resurse!$A$30)</f>
        <v/>
      </c>
      <c r="E30" s="7">
        <f>Resurse!E30</f>
        <v/>
      </c>
      <c r="F30" s="7">
        <f>ROUND(D30*E30,2)</f>
        <v/>
      </c>
    </row>
    <row r="31">
      <c r="A31" t="n">
        <v>25</v>
      </c>
      <c r="B31">
        <f>Resurse!B31</f>
        <v/>
      </c>
      <c r="C31">
        <f>Resurse!C31</f>
        <v/>
      </c>
      <c r="D31" s="6">
        <f>SUMIFS(Analiza!$H$7:$H$138,Analiza!$C$7:$C$138,Resurse!$A$31)</f>
        <v/>
      </c>
      <c r="E31" s="7">
        <f>Resurse!E31</f>
        <v/>
      </c>
      <c r="F31" s="7">
        <f>ROUND(D31*E31,2)</f>
        <v/>
      </c>
    </row>
    <row r="32">
      <c r="A32" t="n">
        <v>26</v>
      </c>
      <c r="B32">
        <f>Resurse!B32</f>
        <v/>
      </c>
      <c r="C32">
        <f>Resurse!C32</f>
        <v/>
      </c>
      <c r="D32" s="6">
        <f>SUMIFS(Analiza!$H$7:$H$138,Analiza!$C$7:$C$138,Resurse!$A$32)</f>
        <v/>
      </c>
      <c r="E32" s="7">
        <f>Resurse!E32</f>
        <v/>
      </c>
      <c r="F32" s="7">
        <f>ROUND(D32*E32,2)</f>
        <v/>
      </c>
    </row>
    <row r="33">
      <c r="A33" t="n">
        <v>27</v>
      </c>
      <c r="B33">
        <f>Resurse!B33</f>
        <v/>
      </c>
      <c r="C33">
        <f>Resurse!C33</f>
        <v/>
      </c>
      <c r="D33" s="6">
        <f>SUMIFS(Analiza!$H$7:$H$138,Analiza!$C$7:$C$138,Resurse!$A$33)</f>
        <v/>
      </c>
      <c r="E33" s="7">
        <f>Resurse!E33</f>
        <v/>
      </c>
      <c r="F33" s="7">
        <f>ROUND(D33*E33,2)</f>
        <v/>
      </c>
    </row>
    <row r="34">
      <c r="A34" t="n">
        <v>28</v>
      </c>
      <c r="B34">
        <f>Resurse!B34</f>
        <v/>
      </c>
      <c r="C34">
        <f>Resurse!C34</f>
        <v/>
      </c>
      <c r="D34" s="6">
        <f>SUMIFS(Analiza!$H$7:$H$138,Analiza!$C$7:$C$138,Resurse!$A$34)</f>
        <v/>
      </c>
      <c r="E34" s="7">
        <f>Resurse!E34</f>
        <v/>
      </c>
      <c r="F34" s="7">
        <f>ROUND(D34*E34,2)</f>
        <v/>
      </c>
    </row>
    <row r="35">
      <c r="A35" t="n">
        <v>29</v>
      </c>
      <c r="B35">
        <f>Resurse!B35</f>
        <v/>
      </c>
      <c r="C35">
        <f>Resurse!C35</f>
        <v/>
      </c>
      <c r="D35" s="6">
        <f>SUMIFS(Analiza!$H$7:$H$138,Analiza!$C$7:$C$138,Resurse!$A$35)</f>
        <v/>
      </c>
      <c r="E35" s="7">
        <f>Resurse!E35</f>
        <v/>
      </c>
      <c r="F35" s="7">
        <f>ROUND(D35*E35,2)</f>
        <v/>
      </c>
    </row>
    <row r="36">
      <c r="A36" t="n">
        <v>30</v>
      </c>
      <c r="B36">
        <f>Resurse!B36</f>
        <v/>
      </c>
      <c r="C36">
        <f>Resurse!C36</f>
        <v/>
      </c>
      <c r="D36" s="6">
        <f>SUMIFS(Analiza!$H$7:$H$138,Analiza!$C$7:$C$138,Resurse!$A$36)</f>
        <v/>
      </c>
      <c r="E36" s="7">
        <f>Resurse!E36</f>
        <v/>
      </c>
      <c r="F36" s="7">
        <f>ROUND(D36*E36,2)</f>
        <v/>
      </c>
    </row>
    <row r="37">
      <c r="A37" t="n">
        <v>31</v>
      </c>
      <c r="B37">
        <f>Resurse!B37</f>
        <v/>
      </c>
      <c r="C37">
        <f>Resurse!C37</f>
        <v/>
      </c>
      <c r="D37" s="6">
        <f>SUMIFS(Analiza!$H$7:$H$138,Analiza!$C$7:$C$138,Resurse!$A$37)</f>
        <v/>
      </c>
      <c r="E37" s="7">
        <f>Resurse!E37</f>
        <v/>
      </c>
      <c r="F37" s="7">
        <f>ROUND(D37*E37,2)</f>
        <v/>
      </c>
    </row>
    <row r="38">
      <c r="A38" t="n">
        <v>32</v>
      </c>
      <c r="B38">
        <f>Resurse!B38</f>
        <v/>
      </c>
      <c r="C38">
        <f>Resurse!C38</f>
        <v/>
      </c>
      <c r="D38" s="6">
        <f>SUMIFS(Analiza!$H$7:$H$138,Analiza!$C$7:$C$138,Resurse!$A$38)</f>
        <v/>
      </c>
      <c r="E38" s="7">
        <f>Resurse!E38</f>
        <v/>
      </c>
      <c r="F38" s="7">
        <f>ROUND(D38*E38,2)</f>
        <v/>
      </c>
    </row>
    <row r="39">
      <c r="A39" t="n">
        <v>33</v>
      </c>
      <c r="B39">
        <f>Resurse!B39</f>
        <v/>
      </c>
      <c r="C39">
        <f>Resurse!C39</f>
        <v/>
      </c>
      <c r="D39" s="6">
        <f>SUMIFS(Analiza!$H$7:$H$138,Analiza!$C$7:$C$138,Resurse!$A$39)</f>
        <v/>
      </c>
      <c r="E39" s="7">
        <f>Resurse!E39</f>
        <v/>
      </c>
      <c r="F39" s="7">
        <f>ROUND(D39*E39,2)</f>
        <v/>
      </c>
    </row>
    <row r="40">
      <c r="A40" t="n">
        <v>34</v>
      </c>
      <c r="B40">
        <f>Resurse!B40</f>
        <v/>
      </c>
      <c r="C40">
        <f>Resurse!C40</f>
        <v/>
      </c>
      <c r="D40" s="6">
        <f>SUMIFS(Analiza!$H$7:$H$138,Analiza!$C$7:$C$138,Resurse!$A$40)</f>
        <v/>
      </c>
      <c r="E40" s="7">
        <f>Resurse!E40</f>
        <v/>
      </c>
      <c r="F40" s="7">
        <f>ROUND(D40*E40,2)</f>
        <v/>
      </c>
    </row>
    <row r="41">
      <c r="A41" t="n">
        <v>35</v>
      </c>
      <c r="B41">
        <f>Resurse!B41</f>
        <v/>
      </c>
      <c r="C41">
        <f>Resurse!C41</f>
        <v/>
      </c>
      <c r="D41" s="6">
        <f>SUMIFS(Analiza!$H$7:$H$138,Analiza!$C$7:$C$138,Resurse!$A$41)</f>
        <v/>
      </c>
      <c r="E41" s="7">
        <f>Resurse!E41</f>
        <v/>
      </c>
      <c r="F41" s="7">
        <f>ROUND(D41*E41,2)</f>
        <v/>
      </c>
    </row>
    <row r="42">
      <c r="A42" t="n">
        <v>36</v>
      </c>
      <c r="B42">
        <f>Resurse!B42</f>
        <v/>
      </c>
      <c r="C42">
        <f>Resurse!C42</f>
        <v/>
      </c>
      <c r="D42" s="6">
        <f>SUMIFS(Analiza!$H$7:$H$138,Analiza!$C$7:$C$138,Resurse!$A$42)</f>
        <v/>
      </c>
      <c r="E42" s="7">
        <f>Resurse!E42</f>
        <v/>
      </c>
      <c r="F42" s="7">
        <f>ROUND(D42*E42,2)</f>
        <v/>
      </c>
    </row>
    <row r="43">
      <c r="A43" t="n">
        <v>37</v>
      </c>
      <c r="B43">
        <f>Resurse!B43</f>
        <v/>
      </c>
      <c r="C43">
        <f>Resurse!C43</f>
        <v/>
      </c>
      <c r="D43" s="6">
        <f>SUMIFS(Analiza!$H$7:$H$138,Analiza!$C$7:$C$138,Resurse!$A$43)</f>
        <v/>
      </c>
      <c r="E43" s="7">
        <f>Resurse!E43</f>
        <v/>
      </c>
      <c r="F43" s="7">
        <f>ROUND(D43*E43,2)</f>
        <v/>
      </c>
    </row>
    <row r="44">
      <c r="A44" t="n">
        <v>38</v>
      </c>
      <c r="B44">
        <f>Resurse!B44</f>
        <v/>
      </c>
      <c r="C44">
        <f>Resurse!C44</f>
        <v/>
      </c>
      <c r="D44" s="6">
        <f>SUMIFS(Analiza!$H$7:$H$138,Analiza!$C$7:$C$138,Resurse!$A$44)</f>
        <v/>
      </c>
      <c r="E44" s="7">
        <f>Resurse!E44</f>
        <v/>
      </c>
      <c r="F44" s="7">
        <f>ROUND(D44*E44,2)</f>
        <v/>
      </c>
    </row>
    <row r="45">
      <c r="A45" t="n">
        <v>39</v>
      </c>
      <c r="B45">
        <f>Resurse!B45</f>
        <v/>
      </c>
      <c r="C45">
        <f>Resurse!C45</f>
        <v/>
      </c>
      <c r="D45" s="6">
        <f>SUMIFS(Analiza!$H$7:$H$138,Analiza!$C$7:$C$138,Resurse!$A$45)</f>
        <v/>
      </c>
      <c r="E45" s="7">
        <f>Resurse!E45</f>
        <v/>
      </c>
      <c r="F45" s="7">
        <f>ROUND(D45*E45,2)</f>
        <v/>
      </c>
    </row>
    <row r="46">
      <c r="A46" t="n">
        <v>40</v>
      </c>
      <c r="B46">
        <f>Resurse!B46</f>
        <v/>
      </c>
      <c r="C46">
        <f>Resurse!C46</f>
        <v/>
      </c>
      <c r="D46" s="6">
        <f>SUMIFS(Analiza!$H$7:$H$138,Analiza!$C$7:$C$138,Resurse!$A$46)</f>
        <v/>
      </c>
      <c r="E46" s="7">
        <f>Resurse!E46</f>
        <v/>
      </c>
      <c r="F46" s="7">
        <f>ROUND(D46*E46,2)</f>
        <v/>
      </c>
    </row>
    <row r="47">
      <c r="A47" t="n">
        <v>41</v>
      </c>
      <c r="B47">
        <f>Resurse!B47</f>
        <v/>
      </c>
      <c r="C47">
        <f>Resurse!C47</f>
        <v/>
      </c>
      <c r="D47" s="6">
        <f>SUMIFS(Analiza!$H$7:$H$138,Analiza!$C$7:$C$138,Resurse!$A$47)</f>
        <v/>
      </c>
      <c r="E47" s="7">
        <f>Resurse!E47</f>
        <v/>
      </c>
      <c r="F47" s="7">
        <f>ROUND(D47*E47,2)</f>
        <v/>
      </c>
    </row>
    <row r="48">
      <c r="A48" t="n">
        <v>42</v>
      </c>
      <c r="B48">
        <f>Resurse!B48</f>
        <v/>
      </c>
      <c r="C48">
        <f>Resurse!C48</f>
        <v/>
      </c>
      <c r="D48" s="6">
        <f>SUMIFS(Analiza!$H$7:$H$138,Analiza!$C$7:$C$138,Resurse!$A$48)</f>
        <v/>
      </c>
      <c r="E48" s="7">
        <f>Resurse!E48</f>
        <v/>
      </c>
      <c r="F48" s="7">
        <f>ROUND(D48*E48,2)</f>
        <v/>
      </c>
    </row>
    <row r="49">
      <c r="A49" t="n">
        <v>43</v>
      </c>
      <c r="B49">
        <f>Resurse!B49</f>
        <v/>
      </c>
      <c r="C49">
        <f>Resurse!C49</f>
        <v/>
      </c>
      <c r="D49" s="6">
        <f>SUMIFS(Analiza!$H$7:$H$138,Analiza!$C$7:$C$138,Resurse!$A$49)</f>
        <v/>
      </c>
      <c r="E49" s="7">
        <f>Resurse!E49</f>
        <v/>
      </c>
      <c r="F49" s="7">
        <f>ROUND(D49*E49,2)</f>
        <v/>
      </c>
    </row>
    <row r="50">
      <c r="A50" t="n">
        <v>44</v>
      </c>
      <c r="B50">
        <f>Resurse!B50</f>
        <v/>
      </c>
      <c r="C50">
        <f>Resurse!C50</f>
        <v/>
      </c>
      <c r="D50" s="6">
        <f>SUMIFS(Analiza!$H$7:$H$138,Analiza!$C$7:$C$138,Resurse!$A$50)</f>
        <v/>
      </c>
      <c r="E50" s="7">
        <f>Resurse!E50</f>
        <v/>
      </c>
      <c r="F50" s="7">
        <f>ROUND(D50*E50,2)</f>
        <v/>
      </c>
    </row>
    <row r="51">
      <c r="A51" t="n">
        <v>45</v>
      </c>
      <c r="B51">
        <f>Resurse!B51</f>
        <v/>
      </c>
      <c r="C51">
        <f>Resurse!C51</f>
        <v/>
      </c>
      <c r="D51" s="6">
        <f>SUMIFS(Analiza!$H$7:$H$138,Analiza!$C$7:$C$138,Resurse!$A$51)</f>
        <v/>
      </c>
      <c r="E51" s="7">
        <f>Resurse!E51</f>
        <v/>
      </c>
      <c r="F51" s="7">
        <f>ROUND(D51*E51,2)</f>
        <v/>
      </c>
    </row>
    <row r="52">
      <c r="B52" s="4" t="inlineStr">
        <is>
          <t>TOTAL</t>
        </is>
      </c>
      <c r="F52" s="7">
        <f>SUM(F7:F51)</f>
        <v/>
      </c>
    </row>
    <row r="53">
      <c r="B53" t="inlineStr">
        <is>
          <t>Verificare: diferență față de F3 (rotunjiri, trebuie ≈ 0)</t>
        </is>
      </c>
      <c r="F53" s="7">
        <f>ROUND(F52-F3!J69,0)</f>
        <v/>
      </c>
    </row>
    <row r="55">
      <c r="B55" t="inlineStr">
        <is>
          <t>OFERTANT,</t>
        </is>
      </c>
    </row>
    <row r="56">
      <c r="B56" t="inlineStr">
        <is>
          <t>BILZI STEEL PROFILE S.R.L.</t>
        </is>
      </c>
    </row>
    <row r="57">
      <c r="B57" t="inlineStr">
        <is>
          <t>Șerban Marius – administrator</t>
        </is>
      </c>
    </row>
    <row r="58">
      <c r="B58" t="inlineStr">
        <is>
          <t>Semnătura și ștampila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C7 – Lista consumurilor cu mâna de lucru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Total ore-om</t>
        </is>
      </c>
      <c r="E6" s="3" t="inlineStr">
        <is>
          <t>Tarif orar (lei)</t>
        </is>
      </c>
      <c r="F6" s="3" t="inlineStr">
        <is>
          <t>Valoare (lei, fără TVA)</t>
        </is>
      </c>
    </row>
    <row r="7">
      <c r="A7" t="n">
        <v>1</v>
      </c>
      <c r="B7">
        <f>Resurse!B52</f>
        <v/>
      </c>
      <c r="C7">
        <f>Resurse!C52</f>
        <v/>
      </c>
      <c r="D7" s="6">
        <f>SUMIFS(Analiza!$H$7:$H$138,Analiza!$C$7:$C$138,Resurse!$A$52)</f>
        <v/>
      </c>
      <c r="E7" s="7">
        <f>Resurse!E52</f>
        <v/>
      </c>
      <c r="F7" s="7">
        <f>ROUND(D7*E7,2)</f>
        <v/>
      </c>
    </row>
    <row r="8">
      <c r="A8" t="n">
        <v>2</v>
      </c>
      <c r="B8">
        <f>Resurse!B53</f>
        <v/>
      </c>
      <c r="C8">
        <f>Resurse!C53</f>
        <v/>
      </c>
      <c r="D8" s="6">
        <f>SUMIFS(Analiza!$H$7:$H$138,Analiza!$C$7:$C$138,Resurse!$A$53)</f>
        <v/>
      </c>
      <c r="E8" s="7">
        <f>Resurse!E53</f>
        <v/>
      </c>
      <c r="F8" s="7">
        <f>ROUND(D8*E8,2)</f>
        <v/>
      </c>
    </row>
    <row r="9">
      <c r="A9" t="n">
        <v>3</v>
      </c>
      <c r="B9">
        <f>Resurse!B54</f>
        <v/>
      </c>
      <c r="C9">
        <f>Resurse!C54</f>
        <v/>
      </c>
      <c r="D9" s="6">
        <f>SUMIFS(Analiza!$H$7:$H$138,Analiza!$C$7:$C$138,Resurse!$A$54)</f>
        <v/>
      </c>
      <c r="E9" s="7">
        <f>Resurse!E54</f>
        <v/>
      </c>
      <c r="F9" s="7">
        <f>ROUND(D9*E9,2)</f>
        <v/>
      </c>
    </row>
    <row r="10">
      <c r="A10" t="n">
        <v>4</v>
      </c>
      <c r="B10">
        <f>Resurse!B55</f>
        <v/>
      </c>
      <c r="C10">
        <f>Resurse!C55</f>
        <v/>
      </c>
      <c r="D10" s="6">
        <f>SUMIFS(Analiza!$H$7:$H$138,Analiza!$C$7:$C$138,Resurse!$A$55)</f>
        <v/>
      </c>
      <c r="E10" s="7">
        <f>Resurse!E55</f>
        <v/>
      </c>
      <c r="F10" s="7">
        <f>ROUND(D10*E10,2)</f>
        <v/>
      </c>
    </row>
    <row r="11">
      <c r="A11" t="n">
        <v>5</v>
      </c>
      <c r="B11">
        <f>Resurse!B56</f>
        <v/>
      </c>
      <c r="C11">
        <f>Resurse!C56</f>
        <v/>
      </c>
      <c r="D11" s="6">
        <f>SUMIFS(Analiza!$H$7:$H$138,Analiza!$C$7:$C$138,Resurse!$A$56)</f>
        <v/>
      </c>
      <c r="E11" s="7">
        <f>Resurse!E56</f>
        <v/>
      </c>
      <c r="F11" s="7">
        <f>ROUND(D11*E11,2)</f>
        <v/>
      </c>
    </row>
    <row r="12">
      <c r="A12" t="n">
        <v>6</v>
      </c>
      <c r="B12">
        <f>Resurse!B57</f>
        <v/>
      </c>
      <c r="C12">
        <f>Resurse!C57</f>
        <v/>
      </c>
      <c r="D12" s="6">
        <f>SUMIFS(Analiza!$H$7:$H$138,Analiza!$C$7:$C$138,Resurse!$A$57)</f>
        <v/>
      </c>
      <c r="E12" s="7">
        <f>Resurse!E57</f>
        <v/>
      </c>
      <c r="F12" s="7">
        <f>ROUND(D12*E12,2)</f>
        <v/>
      </c>
    </row>
    <row r="13">
      <c r="B13" s="4" t="inlineStr">
        <is>
          <t>TOTAL</t>
        </is>
      </c>
      <c r="F13" s="7">
        <f>SUM(F7:F12)</f>
        <v/>
      </c>
    </row>
    <row r="14">
      <c r="B14" t="inlineStr">
        <is>
          <t>Verificare: diferență față de F3 (rotunjiri, trebuie ≈ 0)</t>
        </is>
      </c>
      <c r="F14" s="7">
        <f>ROUND(F13-F3!K69,0)</f>
        <v/>
      </c>
    </row>
    <row r="16">
      <c r="B16" t="inlineStr">
        <is>
          <t>OFERTANT,</t>
        </is>
      </c>
    </row>
    <row r="17">
      <c r="B17" t="inlineStr">
        <is>
          <t>BILZI STEEL PROFILE S.R.L.</t>
        </is>
      </c>
    </row>
    <row r="18">
      <c r="B18" t="inlineStr">
        <is>
          <t>Șerban Marius – administrator</t>
        </is>
      </c>
    </row>
    <row r="19">
      <c r="B19" t="inlineStr">
        <is>
          <t>Semnătura și ștampila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C8 – Lista consumurilor de ore de funcționare a utilajelor de construcții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Total ore</t>
        </is>
      </c>
      <c r="E6" s="3" t="inlineStr">
        <is>
          <t>Tarif orar (lei)</t>
        </is>
      </c>
      <c r="F6" s="3" t="inlineStr">
        <is>
          <t>Valoare (lei, fără TVA)</t>
        </is>
      </c>
    </row>
    <row r="7">
      <c r="A7" t="n">
        <v>1</v>
      </c>
      <c r="B7">
        <f>Resurse!B58</f>
        <v/>
      </c>
      <c r="C7">
        <f>Resurse!C58</f>
        <v/>
      </c>
      <c r="D7" s="6">
        <f>SUMIFS(Analiza!$H$7:$H$138,Analiza!$C$7:$C$138,Resurse!$A$58)</f>
        <v/>
      </c>
      <c r="E7" s="7">
        <f>Resurse!E58</f>
        <v/>
      </c>
      <c r="F7" s="7">
        <f>ROUND(D7*E7,2)</f>
        <v/>
      </c>
    </row>
    <row r="8">
      <c r="A8" t="n">
        <v>2</v>
      </c>
      <c r="B8">
        <f>Resurse!B59</f>
        <v/>
      </c>
      <c r="C8">
        <f>Resurse!C59</f>
        <v/>
      </c>
      <c r="D8" s="6">
        <f>SUMIFS(Analiza!$H$7:$H$138,Analiza!$C$7:$C$138,Resurse!$A$59)</f>
        <v/>
      </c>
      <c r="E8" s="7">
        <f>Resurse!E59</f>
        <v/>
      </c>
      <c r="F8" s="7">
        <f>ROUND(D8*E8,2)</f>
        <v/>
      </c>
    </row>
    <row r="9">
      <c r="A9" t="n">
        <v>3</v>
      </c>
      <c r="B9">
        <f>Resurse!B60</f>
        <v/>
      </c>
      <c r="C9">
        <f>Resurse!C60</f>
        <v/>
      </c>
      <c r="D9" s="6">
        <f>SUMIFS(Analiza!$H$7:$H$138,Analiza!$C$7:$C$138,Resurse!$A$60)</f>
        <v/>
      </c>
      <c r="E9" s="7">
        <f>Resurse!E60</f>
        <v/>
      </c>
      <c r="F9" s="7">
        <f>ROUND(D9*E9,2)</f>
        <v/>
      </c>
    </row>
    <row r="10">
      <c r="B10" s="4" t="inlineStr">
        <is>
          <t>TOTAL</t>
        </is>
      </c>
      <c r="F10" s="7">
        <f>SUM(F7:F9)</f>
        <v/>
      </c>
    </row>
    <row r="11">
      <c r="B11" t="inlineStr">
        <is>
          <t>Verificare: diferență față de F3 (rotunjiri, trebuie ≈ 0)</t>
        </is>
      </c>
      <c r="F11" s="7">
        <f>ROUND(F10-F3!L69,0)</f>
        <v/>
      </c>
    </row>
    <row r="13">
      <c r="B13" t="inlineStr">
        <is>
          <t>OFERTANT,</t>
        </is>
      </c>
    </row>
    <row r="14">
      <c r="B14" t="inlineStr">
        <is>
          <t>BILZI STEEL PROFILE S.R.L.</t>
        </is>
      </c>
    </row>
    <row r="15">
      <c r="B15" t="inlineStr">
        <is>
          <t>Șerban Marius – administrator</t>
        </is>
      </c>
    </row>
    <row r="16">
      <c r="B16" t="inlineStr">
        <is>
          <t>Semnătura și ștampila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C9 – Lista consumurilor privind transporturile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Denumirea resursei</t>
        </is>
      </c>
      <c r="C6" s="3" t="inlineStr">
        <is>
          <t>UM</t>
        </is>
      </c>
      <c r="D6" s="3" t="inlineStr">
        <is>
          <t>Cantitate</t>
        </is>
      </c>
      <c r="E6" s="3" t="inlineStr">
        <is>
          <t>Tarif (lei)</t>
        </is>
      </c>
      <c r="F6" s="3" t="inlineStr">
        <is>
          <t>Valoare (lei, fără TVA)</t>
        </is>
      </c>
    </row>
    <row r="7">
      <c r="A7" t="n">
        <v>1</v>
      </c>
      <c r="B7">
        <f>Resurse!B61</f>
        <v/>
      </c>
      <c r="C7">
        <f>Resurse!C61</f>
        <v/>
      </c>
      <c r="D7" s="6">
        <f>SUMIFS(Analiza!$H$7:$H$138,Analiza!$C$7:$C$138,Resurse!$A$61)</f>
        <v/>
      </c>
      <c r="E7" s="7">
        <f>Resurse!E61</f>
        <v/>
      </c>
      <c r="F7" s="7">
        <f>ROUND(D7*E7,2)</f>
        <v/>
      </c>
    </row>
    <row r="8">
      <c r="A8" t="n">
        <v>2</v>
      </c>
      <c r="B8">
        <f>Resurse!B62</f>
        <v/>
      </c>
      <c r="C8">
        <f>Resurse!C62</f>
        <v/>
      </c>
      <c r="D8" s="6">
        <f>SUMIFS(Analiza!$H$7:$H$138,Analiza!$C$7:$C$138,Resurse!$A$62)</f>
        <v/>
      </c>
      <c r="E8" s="7">
        <f>Resurse!E62</f>
        <v/>
      </c>
      <c r="F8" s="7">
        <f>ROUND(D8*E8,2)</f>
        <v/>
      </c>
    </row>
    <row r="9">
      <c r="B9" s="4" t="inlineStr">
        <is>
          <t>TOTAL</t>
        </is>
      </c>
      <c r="F9" s="7">
        <f>SUM(F7:F8)</f>
        <v/>
      </c>
    </row>
    <row r="10">
      <c r="B10" t="inlineStr">
        <is>
          <t>Verificare: diferență față de F3 (rotunjiri, trebuie ≈ 0)</t>
        </is>
      </c>
      <c r="F10" s="7">
        <f>ROUND(F9-F3!M69,0)</f>
        <v/>
      </c>
    </row>
    <row r="12">
      <c r="B12" t="inlineStr">
        <is>
          <t>OFERTANT,</t>
        </is>
      </c>
    </row>
    <row r="13">
      <c r="B13" t="inlineStr">
        <is>
          <t>BILZI STEEL PROFILE S.R.L.</t>
        </is>
      </c>
    </row>
    <row r="14">
      <c r="B14" t="inlineStr">
        <is>
          <t>Șerban Marius – administrator</t>
        </is>
      </c>
    </row>
    <row r="15">
      <c r="B15" t="inlineStr">
        <is>
          <t>Semnătura și ștampila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50" customWidth="1" min="2" max="2"/>
    <col width="14" customWidth="1" min="3" max="3"/>
  </cols>
  <sheetData>
    <row r="1">
      <c r="A1" s="1" t="inlineStr">
        <is>
          <t>Graficul de execuție fizic și valoric – 60 zile calendaristice (9 săptămâni)</t>
        </is>
      </c>
    </row>
    <row r="2">
      <c r="A2" t="inlineStr">
        <is>
          <t>Obiectiv: Înlocuire acoperiș clădire Parc Dofteana – DSBC 2026 II – Beneficiar: Direcția Silvică Bacău</t>
        </is>
      </c>
    </row>
    <row r="3">
      <c r="A3" t="inlineStr">
        <is>
          <t>Ofertant: BILZI STEEL PROFILE S.R.L., CUI 39666285, J10/757/2018, Buzău</t>
        </is>
      </c>
    </row>
    <row r="4">
      <c r="A4" s="2" t="inlineStr">
        <is>
          <t>Valori în lei, fără TVA</t>
        </is>
      </c>
    </row>
    <row r="6">
      <c r="A6" s="3" t="inlineStr">
        <is>
          <t>Nr.</t>
        </is>
      </c>
      <c r="B6" s="3" t="inlineStr">
        <is>
          <t>Categoria de lucrări</t>
        </is>
      </c>
      <c r="C6" s="3" t="inlineStr">
        <is>
          <t>Valoare totală</t>
        </is>
      </c>
      <c r="D6" s="3" t="inlineStr">
        <is>
          <t>Săpt. 1 %</t>
        </is>
      </c>
      <c r="E6" s="3" t="inlineStr">
        <is>
          <t>Săpt. 2 %</t>
        </is>
      </c>
      <c r="F6" s="3" t="inlineStr">
        <is>
          <t>Săpt. 3 %</t>
        </is>
      </c>
      <c r="G6" s="3" t="inlineStr">
        <is>
          <t>Săpt. 4 %</t>
        </is>
      </c>
      <c r="H6" s="3" t="inlineStr">
        <is>
          <t>Săpt. 5 %</t>
        </is>
      </c>
      <c r="I6" s="3" t="inlineStr">
        <is>
          <t>Săpt. 6 %</t>
        </is>
      </c>
      <c r="J6" s="3" t="inlineStr">
        <is>
          <t>Săpt. 7 %</t>
        </is>
      </c>
      <c r="K6" s="3" t="inlineStr">
        <is>
          <t>Săpt. 8 %</t>
        </is>
      </c>
      <c r="L6" s="3" t="inlineStr">
        <is>
          <t>Săpt. 9 %</t>
        </is>
      </c>
      <c r="M6" s="3" t="inlineStr">
        <is>
          <t>Verificare %</t>
        </is>
      </c>
      <c r="N6" s="3" t="inlineStr">
        <is>
          <t>Săpt. 1 lei</t>
        </is>
      </c>
      <c r="O6" s="3" t="inlineStr">
        <is>
          <t>Săpt. 2 lei</t>
        </is>
      </c>
      <c r="P6" s="3" t="inlineStr">
        <is>
          <t>Săpt. 3 lei</t>
        </is>
      </c>
      <c r="Q6" s="3" t="inlineStr">
        <is>
          <t>Săpt. 4 lei</t>
        </is>
      </c>
      <c r="R6" s="3" t="inlineStr">
        <is>
          <t>Săpt. 5 lei</t>
        </is>
      </c>
      <c r="S6" s="3" t="inlineStr">
        <is>
          <t>Săpt. 6 lei</t>
        </is>
      </c>
      <c r="T6" s="3" t="inlineStr">
        <is>
          <t>Săpt. 7 lei</t>
        </is>
      </c>
      <c r="U6" s="3" t="inlineStr">
        <is>
          <t>Săpt. 8 lei</t>
        </is>
      </c>
      <c r="V6" s="3" t="inlineStr">
        <is>
          <t>Săpt. 9 lei</t>
        </is>
      </c>
    </row>
    <row r="7">
      <c r="A7" t="n">
        <v>1</v>
      </c>
      <c r="B7" t="inlineStr">
        <is>
          <t>02 Demontări</t>
        </is>
      </c>
      <c r="C7" s="7">
        <f>ROUND(F3!N17/F3!N69*F3!N74,2)</f>
        <v/>
      </c>
      <c r="D7" s="18" t="n">
        <v>0.4</v>
      </c>
      <c r="E7" s="18" t="n">
        <v>0.4</v>
      </c>
      <c r="F7" s="18" t="n">
        <v>0.2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4">
        <f>SUM(D7:L7)</f>
        <v/>
      </c>
      <c r="N7" s="7">
        <f>ROUND($C7*D7,2)</f>
        <v/>
      </c>
      <c r="O7" s="7">
        <f>ROUND($C7*E7,2)</f>
        <v/>
      </c>
      <c r="P7" s="7">
        <f>ROUND($C7*F7,2)</f>
        <v/>
      </c>
      <c r="Q7" s="7">
        <f>ROUND($C7*G7,2)</f>
        <v/>
      </c>
      <c r="R7" s="7">
        <f>ROUND($C7*H7,2)</f>
        <v/>
      </c>
      <c r="S7" s="7">
        <f>ROUND($C7*I7,2)</f>
        <v/>
      </c>
      <c r="T7" s="7">
        <f>ROUND($C7*J7,2)</f>
        <v/>
      </c>
      <c r="U7" s="7">
        <f>ROUND($C7*K7,2)</f>
        <v/>
      </c>
      <c r="V7" s="7">
        <f>ROUND($C7*L7,2)</f>
        <v/>
      </c>
    </row>
    <row r="8">
      <c r="A8" t="n">
        <v>2</v>
      </c>
      <c r="B8" t="inlineStr">
        <is>
          <t>03 Reparații suport lemn</t>
        </is>
      </c>
      <c r="C8" s="7">
        <f>ROUND(F3!N24/F3!N69*F3!N74,2)</f>
        <v/>
      </c>
      <c r="D8" s="18" t="n">
        <v>0</v>
      </c>
      <c r="E8" s="18" t="n">
        <v>0.25</v>
      </c>
      <c r="F8" s="18" t="n">
        <v>0.35</v>
      </c>
      <c r="G8" s="18" t="n">
        <v>0.3</v>
      </c>
      <c r="H8" s="18" t="n">
        <v>0.1</v>
      </c>
      <c r="I8" s="18" t="n">
        <v>0</v>
      </c>
      <c r="J8" s="18" t="n">
        <v>0</v>
      </c>
      <c r="K8" s="18" t="n">
        <v>0</v>
      </c>
      <c r="L8" s="18" t="n">
        <v>0</v>
      </c>
      <c r="M8" s="14">
        <f>SUM(D8:L8)</f>
        <v/>
      </c>
      <c r="N8" s="7">
        <f>ROUND($C8*D8,2)</f>
        <v/>
      </c>
      <c r="O8" s="7">
        <f>ROUND($C8*E8,2)</f>
        <v/>
      </c>
      <c r="P8" s="7">
        <f>ROUND($C8*F8,2)</f>
        <v/>
      </c>
      <c r="Q8" s="7">
        <f>ROUND($C8*G8,2)</f>
        <v/>
      </c>
      <c r="R8" s="7">
        <f>ROUND($C8*H8,2)</f>
        <v/>
      </c>
      <c r="S8" s="7">
        <f>ROUND($C8*I8,2)</f>
        <v/>
      </c>
      <c r="T8" s="7">
        <f>ROUND($C8*J8,2)</f>
        <v/>
      </c>
      <c r="U8" s="7">
        <f>ROUND($C8*K8,2)</f>
        <v/>
      </c>
      <c r="V8" s="7">
        <f>ROUND($C8*L8,2)</f>
        <v/>
      </c>
    </row>
    <row r="9">
      <c r="A9" t="n">
        <v>3</v>
      </c>
      <c r="B9" t="inlineStr">
        <is>
          <t>04 Înlocuire învelitoare</t>
        </is>
      </c>
      <c r="C9" s="7">
        <f>ROUND(F3!N37/F3!N69*F3!N74,2)</f>
        <v/>
      </c>
      <c r="D9" s="18" t="n">
        <v>0</v>
      </c>
      <c r="E9" s="18" t="n">
        <v>0</v>
      </c>
      <c r="F9" s="18" t="n">
        <v>0.15</v>
      </c>
      <c r="G9" s="18" t="n">
        <v>0.2</v>
      </c>
      <c r="H9" s="18" t="n">
        <v>0.2</v>
      </c>
      <c r="I9" s="18" t="n">
        <v>0.2</v>
      </c>
      <c r="J9" s="18" t="n">
        <v>0.15</v>
      </c>
      <c r="K9" s="18" t="n">
        <v>0.1</v>
      </c>
      <c r="L9" s="18" t="n">
        <v>0</v>
      </c>
      <c r="M9" s="14">
        <f>SUM(D9:L9)</f>
        <v/>
      </c>
      <c r="N9" s="7">
        <f>ROUND($C9*D9,2)</f>
        <v/>
      </c>
      <c r="O9" s="7">
        <f>ROUND($C9*E9,2)</f>
        <v/>
      </c>
      <c r="P9" s="7">
        <f>ROUND($C9*F9,2)</f>
        <v/>
      </c>
      <c r="Q9" s="7">
        <f>ROUND($C9*G9,2)</f>
        <v/>
      </c>
      <c r="R9" s="7">
        <f>ROUND($C9*H9,2)</f>
        <v/>
      </c>
      <c r="S9" s="7">
        <f>ROUND($C9*I9,2)</f>
        <v/>
      </c>
      <c r="T9" s="7">
        <f>ROUND($C9*J9,2)</f>
        <v/>
      </c>
      <c r="U9" s="7">
        <f>ROUND($C9*K9,2)</f>
        <v/>
      </c>
      <c r="V9" s="7">
        <f>ROUND($C9*L9,2)</f>
        <v/>
      </c>
    </row>
    <row r="10">
      <c r="A10" t="n">
        <v>4</v>
      </c>
      <c r="B10" t="inlineStr">
        <is>
          <t>05 Montaj intrados streașină, pazii din lemn</t>
        </is>
      </c>
      <c r="C10" s="7">
        <f>ROUND(F3!N42/F3!N69*F3!N74,2)</f>
        <v/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0.3</v>
      </c>
      <c r="J10" s="18" t="n">
        <v>0.4</v>
      </c>
      <c r="K10" s="18" t="n">
        <v>0.3</v>
      </c>
      <c r="L10" s="18" t="n">
        <v>0</v>
      </c>
      <c r="M10" s="14">
        <f>SUM(D10:L10)</f>
        <v/>
      </c>
      <c r="N10" s="7">
        <f>ROUND($C10*D10,2)</f>
        <v/>
      </c>
      <c r="O10" s="7">
        <f>ROUND($C10*E10,2)</f>
        <v/>
      </c>
      <c r="P10" s="7">
        <f>ROUND($C10*F10,2)</f>
        <v/>
      </c>
      <c r="Q10" s="7">
        <f>ROUND($C10*G10,2)</f>
        <v/>
      </c>
      <c r="R10" s="7">
        <f>ROUND($C10*H10,2)</f>
        <v/>
      </c>
      <c r="S10" s="7">
        <f>ROUND($C10*I10,2)</f>
        <v/>
      </c>
      <c r="T10" s="7">
        <f>ROUND($C10*J10,2)</f>
        <v/>
      </c>
      <c r="U10" s="7">
        <f>ROUND($C10*K10,2)</f>
        <v/>
      </c>
      <c r="V10" s="7">
        <f>ROUND($C10*L10,2)</f>
        <v/>
      </c>
    </row>
    <row r="11">
      <c r="A11" t="n">
        <v>5</v>
      </c>
      <c r="B11" t="inlineStr">
        <is>
          <t>06 Lucrări la instalații electrice și de protecție la trăsnet</t>
        </is>
      </c>
      <c r="C11" s="7">
        <f>ROUND(F3!N47/F3!N69*F3!N74,2)</f>
        <v/>
      </c>
      <c r="D11" s="18" t="n">
        <v>0.2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0.4</v>
      </c>
      <c r="L11" s="18" t="n">
        <v>0.4</v>
      </c>
      <c r="M11" s="14">
        <f>SUM(D11:L11)</f>
        <v/>
      </c>
      <c r="N11" s="7">
        <f>ROUND($C11*D11,2)</f>
        <v/>
      </c>
      <c r="O11" s="7">
        <f>ROUND($C11*E11,2)</f>
        <v/>
      </c>
      <c r="P11" s="7">
        <f>ROUND($C11*F11,2)</f>
        <v/>
      </c>
      <c r="Q11" s="7">
        <f>ROUND($C11*G11,2)</f>
        <v/>
      </c>
      <c r="R11" s="7">
        <f>ROUND($C11*H11,2)</f>
        <v/>
      </c>
      <c r="S11" s="7">
        <f>ROUND($C11*I11,2)</f>
        <v/>
      </c>
      <c r="T11" s="7">
        <f>ROUND($C11*J11,2)</f>
        <v/>
      </c>
      <c r="U11" s="7">
        <f>ROUND($C11*K11,2)</f>
        <v/>
      </c>
      <c r="V11" s="7">
        <f>ROUND($C11*L11,2)</f>
        <v/>
      </c>
    </row>
    <row r="12">
      <c r="A12" t="n">
        <v>6</v>
      </c>
      <c r="B12" t="inlineStr">
        <is>
          <t>07 Tinichigerie și pluvial</t>
        </is>
      </c>
      <c r="C12" s="7">
        <f>ROUND(F3!N59/F3!N69*F3!N74,2)</f>
        <v/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0.4</v>
      </c>
      <c r="K12" s="18" t="n">
        <v>0.4</v>
      </c>
      <c r="L12" s="18" t="n">
        <v>0.2</v>
      </c>
      <c r="M12" s="14">
        <f>SUM(D12:L12)</f>
        <v/>
      </c>
      <c r="N12" s="7">
        <f>ROUND($C12*D12,2)</f>
        <v/>
      </c>
      <c r="O12" s="7">
        <f>ROUND($C12*E12,2)</f>
        <v/>
      </c>
      <c r="P12" s="7">
        <f>ROUND($C12*F12,2)</f>
        <v/>
      </c>
      <c r="Q12" s="7">
        <f>ROUND($C12*G12,2)</f>
        <v/>
      </c>
      <c r="R12" s="7">
        <f>ROUND($C12*H12,2)</f>
        <v/>
      </c>
      <c r="S12" s="7">
        <f>ROUND($C12*I12,2)</f>
        <v/>
      </c>
      <c r="T12" s="7">
        <f>ROUND($C12*J12,2)</f>
        <v/>
      </c>
      <c r="U12" s="7">
        <f>ROUND($C12*K12,2)</f>
        <v/>
      </c>
      <c r="V12" s="7">
        <f>ROUND($C12*L12,2)</f>
        <v/>
      </c>
    </row>
    <row r="13">
      <c r="A13" t="n">
        <v>7</v>
      </c>
      <c r="B13" t="inlineStr">
        <is>
          <t>08 Coșuri de fum</t>
        </is>
      </c>
      <c r="C13" s="7">
        <f>F3!N74-SUM(C7:C12)</f>
        <v/>
      </c>
      <c r="D13" s="18" t="n">
        <v>0</v>
      </c>
      <c r="E13" s="18" t="n">
        <v>0</v>
      </c>
      <c r="F13" s="18" t="n">
        <v>0.2</v>
      </c>
      <c r="G13" s="18" t="n">
        <v>0.3</v>
      </c>
      <c r="H13" s="18" t="n">
        <v>0.3</v>
      </c>
      <c r="I13" s="18" t="n">
        <v>0.2</v>
      </c>
      <c r="J13" s="18" t="n">
        <v>0</v>
      </c>
      <c r="K13" s="18" t="n">
        <v>0</v>
      </c>
      <c r="L13" s="18" t="n">
        <v>0</v>
      </c>
      <c r="M13" s="14">
        <f>SUM(D13:L13)</f>
        <v/>
      </c>
      <c r="N13" s="7">
        <f>ROUND($C13*D13,2)</f>
        <v/>
      </c>
      <c r="O13" s="7">
        <f>ROUND($C13*E13,2)</f>
        <v/>
      </c>
      <c r="P13" s="7">
        <f>ROUND($C13*F13,2)</f>
        <v/>
      </c>
      <c r="Q13" s="7">
        <f>ROUND($C13*G13,2)</f>
        <v/>
      </c>
      <c r="R13" s="7">
        <f>ROUND($C13*H13,2)</f>
        <v/>
      </c>
      <c r="S13" s="7">
        <f>ROUND($C13*I13,2)</f>
        <v/>
      </c>
      <c r="T13" s="7">
        <f>ROUND($C13*J13,2)</f>
        <v/>
      </c>
      <c r="U13" s="7">
        <f>ROUND($C13*K13,2)</f>
        <v/>
      </c>
      <c r="V13" s="7">
        <f>ROUND($C13*L13,2)</f>
        <v/>
      </c>
    </row>
    <row r="14">
      <c r="B14" s="4" t="inlineStr">
        <is>
          <t>TOTAL</t>
        </is>
      </c>
      <c r="C14" s="7">
        <f>SUM(C7:C13)</f>
        <v/>
      </c>
      <c r="N14" s="7">
        <f>SUM(N7:N13)</f>
        <v/>
      </c>
      <c r="O14" s="7">
        <f>SUM(O7:O13)</f>
        <v/>
      </c>
      <c r="P14" s="7">
        <f>SUM(P7:P13)</f>
        <v/>
      </c>
      <c r="Q14" s="7">
        <f>SUM(Q7:Q13)</f>
        <v/>
      </c>
      <c r="R14" s="7">
        <f>SUM(R7:R13)</f>
        <v/>
      </c>
      <c r="S14" s="7">
        <f>SUM(S7:S13)</f>
        <v/>
      </c>
      <c r="T14" s="7">
        <f>SUM(T7:T13)</f>
        <v/>
      </c>
      <c r="U14" s="7">
        <f>SUM(U7:U13)</f>
        <v/>
      </c>
      <c r="V14" s="7">
        <f>SUM(V7:V13)</f>
        <v/>
      </c>
    </row>
    <row r="15">
      <c r="B15" t="inlineStr">
        <is>
          <t>Verificare: diferență față de totalul F3 (trebuie ≈ 0)</t>
        </is>
      </c>
      <c r="C15" s="7">
        <f>ROUND(C14-F3!N74,0)</f>
        <v/>
      </c>
    </row>
    <row r="17">
      <c r="B17" t="inlineStr">
        <is>
          <t>OFERTANT,</t>
        </is>
      </c>
    </row>
    <row r="18">
      <c r="B18" t="inlineStr">
        <is>
          <t>BILZI STEEL PROFILE S.R.L.</t>
        </is>
      </c>
    </row>
    <row r="19">
      <c r="B19" t="inlineStr">
        <is>
          <t>Șerban Marius – administrator</t>
        </is>
      </c>
    </row>
    <row r="20">
      <c r="B20" t="inlineStr">
        <is>
          <t>Semnătura și ștampila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</cols>
  <sheetData>
    <row r="1">
      <c r="A1" s="1" t="inlineStr">
        <is>
          <t>ANEXA LA FORMULARUL DE OFERTĂ</t>
        </is>
      </c>
    </row>
    <row r="2">
      <c r="A2" t="inlineStr">
        <is>
          <t>Titlul contractului: „Înlocuire acoperiș clădire Parc Dofteana – DSBC 2026 II”</t>
        </is>
      </c>
    </row>
    <row r="4">
      <c r="A4" s="3" t="inlineStr">
        <is>
          <t>Denumire</t>
        </is>
      </c>
      <c r="B4" s="3" t="inlineStr">
        <is>
          <t>Valoare lei (fără TVA)</t>
        </is>
      </c>
    </row>
    <row r="5">
      <c r="A5" t="inlineStr">
        <is>
          <t>02 Demontări</t>
        </is>
      </c>
      <c r="B5" s="7">
        <f>Grafic!C7</f>
        <v/>
      </c>
    </row>
    <row r="6">
      <c r="A6" t="inlineStr">
        <is>
          <t>03 Reparații suport lemn</t>
        </is>
      </c>
      <c r="B6" s="7">
        <f>Grafic!C8</f>
        <v/>
      </c>
    </row>
    <row r="7">
      <c r="A7" t="inlineStr">
        <is>
          <t>04 Înlocuire învelitoare</t>
        </is>
      </c>
      <c r="B7" s="7">
        <f>Grafic!C9</f>
        <v/>
      </c>
    </row>
    <row r="8">
      <c r="A8" t="inlineStr">
        <is>
          <t>05 Montaj intrados streașină, pazii din lemn</t>
        </is>
      </c>
      <c r="B8" s="7">
        <f>Grafic!C10</f>
        <v/>
      </c>
    </row>
    <row r="9">
      <c r="A9" t="inlineStr">
        <is>
          <t>06 Lucrări la instalații electrice și de protecție la trăsnet</t>
        </is>
      </c>
      <c r="B9" s="7">
        <f>Grafic!C11</f>
        <v/>
      </c>
    </row>
    <row r="10">
      <c r="A10" t="inlineStr">
        <is>
          <t>07 Tinichigerie și pluvial</t>
        </is>
      </c>
      <c r="B10" s="7">
        <f>Grafic!C12</f>
        <v/>
      </c>
    </row>
    <row r="11">
      <c r="A11" t="inlineStr">
        <is>
          <t>08 Coșuri de fum</t>
        </is>
      </c>
      <c r="B11" s="7">
        <f>Grafic!C13</f>
        <v/>
      </c>
    </row>
    <row r="12">
      <c r="A12" s="4" t="inlineStr">
        <is>
          <t>TOTAL fără TVA</t>
        </is>
      </c>
      <c r="B12" s="7">
        <f>F3!N74</f>
        <v/>
      </c>
    </row>
    <row r="13">
      <c r="A13" t="inlineStr">
        <is>
          <t>TVA 21%</t>
        </is>
      </c>
      <c r="B13" s="7">
        <f>F3!N75</f>
        <v/>
      </c>
    </row>
    <row r="14">
      <c r="A14" s="4" t="inlineStr">
        <is>
          <t>TOTAL cu TVA</t>
        </is>
      </c>
      <c r="B14" s="7">
        <f>F3!N76</f>
        <v/>
      </c>
    </row>
    <row r="16">
      <c r="A16" t="inlineStr">
        <is>
          <t>OFERTANT,</t>
        </is>
      </c>
    </row>
    <row r="17">
      <c r="A17" t="inlineStr">
        <is>
          <t>BILZI STEEL PROFILE S.R.L.</t>
        </is>
      </c>
    </row>
    <row r="18">
      <c r="A18" t="inlineStr">
        <is>
          <t>Șerban Marius – administrator</t>
        </is>
      </c>
    </row>
    <row r="19">
      <c r="A19" t="inlineStr">
        <is>
          <t>Semnătura și ștampila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2026-10-02T08:06:04Z</dcterms:created>
  <dcterms:modified xmlns:dcterms="http://purl.org/dc/terms/" xmlns:xsi="http://www.w3.org/2001/XMLSchema-instance" xsi:type="dcterms:W3CDTF">2026-10-02T08:06:04Z</dcterms:modified>
</cp:coreProperties>
</file>