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F3" sheetId="2" state="visible" r:id="rId2"/>
    <sheet xmlns:r="http://schemas.openxmlformats.org/officeDocument/2006/relationships" name="Resurse" sheetId="3" state="visible" r:id="rId3"/>
    <sheet xmlns:r="http://schemas.openxmlformats.org/officeDocument/2006/relationships" name="Analiza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7" sheetId="6" state="visible" r:id="rId6"/>
    <sheet xmlns:r="http://schemas.openxmlformats.org/officeDocument/2006/relationships" name="C8" sheetId="7" state="visible" r:id="rId7"/>
    <sheet xmlns:r="http://schemas.openxmlformats.org/officeDocument/2006/relationships" name="C9" sheetId="8" state="visible" r:id="rId8"/>
    <sheet xmlns:r="http://schemas.openxmlformats.org/officeDocument/2006/relationships" name="Grafic" sheetId="9" state="visible" r:id="rId9"/>
    <sheet xmlns:r="http://schemas.openxmlformats.org/officeDocument/2006/relationships" name="Anexa ofer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001F4E7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4" fontId="0" fillId="4" borderId="0" pivotButton="0" quotePrefix="0" xfId="0"/>
    <xf numFmtId="10" fontId="0" fillId="0" borderId="0" pivotButton="0" quotePrefix="0" xfId="0"/>
    <xf numFmtId="10" fontId="0" fillId="3" borderId="0" pivotButton="0" quotePrefix="0" xfId="0"/>
    <xf numFmtId="4" fontId="3" fillId="0" borderId="0" pivotButton="0" quotePrefix="0" xfId="0"/>
    <xf numFmtId="9" fontId="0" fillId="0" borderId="0" pivotButton="0" quotePrefix="0" xfId="0"/>
    <xf numFmtId="0" fontId="2" fillId="0" borderId="0" applyAlignment="1" pivotButton="0" quotePrefix="0" xfId="0">
      <alignment wrapText="1"/>
    </xf>
    <xf numFmtId="4" fontId="4" fillId="3" borderId="0" pivotButton="0" quotePrefix="0" xfId="0"/>
    <xf numFmtId="165" fontId="4" fillId="3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Propunere financiară – Lucrări de reparații acoperiș pav. C4, cazarma 3589 București (ADV1550471)</t>
        </is>
      </c>
    </row>
    <row r="3">
      <c r="A3" t="inlineStr">
        <is>
          <t xml:space="preserve">Termen: 05.10.2026, ora 14:00 – </t>
        </is>
      </c>
    </row>
    <row r="4">
      <c r="A4" t="inlineStr">
        <is>
          <t>1. Foaia Resurse: prețurile resurselor (fără TVA) din baza de prețuri BILZI, cu sursa fiecăruia. Celulele galbene se pot modifica – oferta se recalculează.</t>
        </is>
      </c>
    </row>
    <row r="5">
      <c r="A5" t="inlineStr">
        <is>
          <t>2. Foaia Analiza: consumurile pe unitatea fiecărui articol din F3 (norme uzuale, de verificat).</t>
        </is>
      </c>
    </row>
    <row r="6">
      <c r="A6" t="inlineStr">
        <is>
          <t>3. F3: prețurile unitare pe material / manoperă / utilaj / transport rezultă din Analiza; CAM 2,25% din manoperă, cheltuieli indirecte și profit în celulele galbene.</t>
        </is>
      </c>
    </row>
    <row r="7">
      <c r="A7" t="inlineStr">
        <is>
          <t>4. C6–C9, Grafic și Anexa se completează singure; rândurile „Verificare” trebuie să fie 0.</t>
        </is>
      </c>
    </row>
    <row r="8">
      <c r="A8" t="inlineStr">
        <is>
          <t>5. Valoarea estimată: 77,677.10 lei fără TVA. Oferta peste această valoare este respinsă.</t>
        </is>
      </c>
    </row>
    <row r="9">
      <c r="A9" t="inlineStr">
        <is>
          <t>Profit aplicat: 9.0% (cel mai mare pas de 0,5% cu care oferta rămâne la cel mult 97% din valoarea estimată, între 5% și 25%).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0" customWidth="1" min="3" max="3"/>
    <col width="6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3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F3 – Lista cu cantitățile de lucrări – deviz ofertă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Simbol</t>
        </is>
      </c>
      <c r="C6" s="3" t="inlineStr">
        <is>
          <t>Denumire articol</t>
        </is>
      </c>
      <c r="D6" s="3" t="inlineStr">
        <is>
          <t>UM</t>
        </is>
      </c>
      <c r="E6" s="3" t="inlineStr">
        <is>
          <t>Cantitate</t>
        </is>
      </c>
      <c r="F6" s="3" t="inlineStr">
        <is>
          <t>PU material</t>
        </is>
      </c>
      <c r="G6" s="3" t="inlineStr">
        <is>
          <t>PU manoperă</t>
        </is>
      </c>
      <c r="H6" s="3" t="inlineStr">
        <is>
          <t>PU utilaj</t>
        </is>
      </c>
      <c r="I6" s="3" t="inlineStr">
        <is>
          <t>PU transport</t>
        </is>
      </c>
      <c r="J6" s="3" t="inlineStr">
        <is>
          <t>Valoare material</t>
        </is>
      </c>
      <c r="K6" s="3" t="inlineStr">
        <is>
          <t>Valoare manoperă</t>
        </is>
      </c>
      <c r="L6" s="3" t="inlineStr">
        <is>
          <t>Valoare utilaj</t>
        </is>
      </c>
      <c r="M6" s="3" t="inlineStr">
        <is>
          <t>Valoare transport</t>
        </is>
      </c>
      <c r="N6" s="3" t="inlineStr">
        <is>
          <t>Total</t>
        </is>
      </c>
    </row>
    <row r="7">
      <c r="C7" s="4" t="inlineStr">
        <is>
          <t>Pavilion C4 – antemăsurătoare (Anexa 1)</t>
        </is>
      </c>
    </row>
    <row r="8">
      <c r="A8" t="n">
        <v>1</v>
      </c>
      <c r="B8" t="inlineStr">
        <is>
          <t>RPCT26B1</t>
        </is>
      </c>
      <c r="C8" s="5" t="inlineStr">
        <is>
          <t>Desfacerea învelitorilor din olane, țigle solzi sau profilate pe șipci, incl. desfacerea șipcilor doliilor</t>
        </is>
      </c>
      <c r="D8" t="inlineStr">
        <is>
          <t>mp</t>
        </is>
      </c>
      <c r="E8" s="6" t="n">
        <v>480</v>
      </c>
      <c r="F8" s="7">
        <f>ROUND(SUMIFS(Analiza!$J$7:$J$52,Analiza!$A$7:$A$52,$A8,Analiza!$K$7:$K$52,"Material"),2)</f>
        <v/>
      </c>
      <c r="G8" s="7">
        <f>ROUND(SUMIFS(Analiza!$J$7:$J$52,Analiza!$A$7:$A$52,$A8,Analiza!$K$7:$K$52,"Manopera"),2)</f>
        <v/>
      </c>
      <c r="H8" s="7">
        <f>ROUND(SUMIFS(Analiza!$J$7:$J$52,Analiza!$A$7:$A$52,$A8,Analiza!$K$7:$K$52,"Utilaj"),2)</f>
        <v/>
      </c>
      <c r="I8" s="7">
        <f>ROUND(SUMIFS(Analiza!$J$7:$J$52,Analiza!$A$7:$A$52,$A8,Analiza!$K$7:$K$52,"Transport"),2)</f>
        <v/>
      </c>
      <c r="J8" s="7">
        <f>ROUND($E8*F8,2)</f>
        <v/>
      </c>
      <c r="K8" s="7">
        <f>ROUND($E8*G8,2)</f>
        <v/>
      </c>
      <c r="L8" s="7">
        <f>ROUND($E8*H8,2)</f>
        <v/>
      </c>
      <c r="M8" s="7">
        <f>ROUND($E8*I8,2)</f>
        <v/>
      </c>
      <c r="N8" s="7">
        <f>SUM(J8:M8)</f>
        <v/>
      </c>
    </row>
    <row r="9">
      <c r="A9" t="n">
        <v>2</v>
      </c>
      <c r="B9" t="inlineStr">
        <is>
          <t>RPCI01C</t>
        </is>
      </c>
      <c r="C9" s="5" t="inlineStr">
        <is>
          <t>Învelitori din țiglă solzi sau olane, coame așezate pe șipci de lemn, inclusiv doliile, paziile, șorțurile</t>
        </is>
      </c>
      <c r="D9" t="inlineStr">
        <is>
          <t>mp</t>
        </is>
      </c>
      <c r="E9" s="6" t="n">
        <v>480</v>
      </c>
      <c r="F9" s="7">
        <f>ROUND(SUMIFS(Analiza!$J$7:$J$52,Analiza!$A$7:$A$52,$A9,Analiza!$K$7:$K$52,"Material"),2)</f>
        <v/>
      </c>
      <c r="G9" s="7">
        <f>ROUND(SUMIFS(Analiza!$J$7:$J$52,Analiza!$A$7:$A$52,$A9,Analiza!$K$7:$K$52,"Manopera"),2)</f>
        <v/>
      </c>
      <c r="H9" s="7">
        <f>ROUND(SUMIFS(Analiza!$J$7:$J$52,Analiza!$A$7:$A$52,$A9,Analiza!$K$7:$K$52,"Utilaj"),2)</f>
        <v/>
      </c>
      <c r="I9" s="7">
        <f>ROUND(SUMIFS(Analiza!$J$7:$J$52,Analiza!$A$7:$A$52,$A9,Analiza!$K$7:$K$52,"Transport"),2)</f>
        <v/>
      </c>
      <c r="J9" s="7">
        <f>ROUND($E9*F9,2)</f>
        <v/>
      </c>
      <c r="K9" s="7">
        <f>ROUND($E9*G9,2)</f>
        <v/>
      </c>
      <c r="L9" s="7">
        <f>ROUND($E9*H9,2)</f>
        <v/>
      </c>
      <c r="M9" s="7">
        <f>ROUND($E9*I9,2)</f>
        <v/>
      </c>
      <c r="N9" s="7">
        <f>SUM(J9:M9)</f>
        <v/>
      </c>
    </row>
    <row r="10">
      <c r="A10" t="n">
        <v>3</v>
      </c>
      <c r="B10" t="inlineStr">
        <is>
          <t>RPCI05XB</t>
        </is>
      </c>
      <c r="C10" s="5" t="inlineStr">
        <is>
          <t>Reparații la învelitori de țigle profilate cu țigle și coame din mortar de ciment la acoperiș fără astereală</t>
        </is>
      </c>
      <c r="D10" t="inlineStr">
        <is>
          <t>mp</t>
        </is>
      </c>
      <c r="E10" s="6" t="n">
        <v>65</v>
      </c>
      <c r="F10" s="7">
        <f>ROUND(SUMIFS(Analiza!$J$7:$J$52,Analiza!$A$7:$A$52,$A10,Analiza!$K$7:$K$52,"Material"),2)</f>
        <v/>
      </c>
      <c r="G10" s="7">
        <f>ROUND(SUMIFS(Analiza!$J$7:$J$52,Analiza!$A$7:$A$52,$A10,Analiza!$K$7:$K$52,"Manopera"),2)</f>
        <v/>
      </c>
      <c r="H10" s="7">
        <f>ROUND(SUMIFS(Analiza!$J$7:$J$52,Analiza!$A$7:$A$52,$A10,Analiza!$K$7:$K$52,"Utilaj"),2)</f>
        <v/>
      </c>
      <c r="I10" s="7">
        <f>ROUND(SUMIFS(Analiza!$J$7:$J$52,Analiza!$A$7:$A$52,$A10,Analiza!$K$7:$K$52,"Transport"),2)</f>
        <v/>
      </c>
      <c r="J10" s="7">
        <f>ROUND($E10*F10,2)</f>
        <v/>
      </c>
      <c r="K10" s="7">
        <f>ROUND($E10*G10,2)</f>
        <v/>
      </c>
      <c r="L10" s="7">
        <f>ROUND($E10*H10,2)</f>
        <v/>
      </c>
      <c r="M10" s="7">
        <f>ROUND($E10*I10,2)</f>
        <v/>
      </c>
      <c r="N10" s="7">
        <f>SUM(J10:M10)</f>
        <v/>
      </c>
    </row>
    <row r="11">
      <c r="A11" t="n">
        <v>4</v>
      </c>
      <c r="B11" t="inlineStr">
        <is>
          <t>RCSI18A</t>
        </is>
      </c>
      <c r="C11" s="5" t="inlineStr">
        <is>
          <t>Jgheaburi tablă zincată 0,5 mm, semirotunde, D=12,5 cm, exec. pe șantier, incl. colțuri/capace/ștuț racord</t>
        </is>
      </c>
      <c r="D11" t="inlineStr">
        <is>
          <t>m</t>
        </is>
      </c>
      <c r="E11" s="6" t="n">
        <v>70</v>
      </c>
      <c r="F11" s="7">
        <f>ROUND(SUMIFS(Analiza!$J$7:$J$52,Analiza!$A$7:$A$52,$A11,Analiza!$K$7:$K$52,"Material"),2)</f>
        <v/>
      </c>
      <c r="G11" s="7">
        <f>ROUND(SUMIFS(Analiza!$J$7:$J$52,Analiza!$A$7:$A$52,$A11,Analiza!$K$7:$K$52,"Manopera"),2)</f>
        <v/>
      </c>
      <c r="H11" s="7">
        <f>ROUND(SUMIFS(Analiza!$J$7:$J$52,Analiza!$A$7:$A$52,$A11,Analiza!$K$7:$K$52,"Utilaj"),2)</f>
        <v/>
      </c>
      <c r="I11" s="7">
        <f>ROUND(SUMIFS(Analiza!$J$7:$J$52,Analiza!$A$7:$A$52,$A11,Analiza!$K$7:$K$52,"Transport"),2)</f>
        <v/>
      </c>
      <c r="J11" s="7">
        <f>ROUND($E11*F11,2)</f>
        <v/>
      </c>
      <c r="K11" s="7">
        <f>ROUND($E11*G11,2)</f>
        <v/>
      </c>
      <c r="L11" s="7">
        <f>ROUND($E11*H11,2)</f>
        <v/>
      </c>
      <c r="M11" s="7">
        <f>ROUND($E11*I11,2)</f>
        <v/>
      </c>
      <c r="N11" s="7">
        <f>SUM(J11:M11)</f>
        <v/>
      </c>
    </row>
    <row r="12">
      <c r="A12" t="n">
        <v>5</v>
      </c>
      <c r="B12" t="inlineStr">
        <is>
          <t>RPDE13A</t>
        </is>
      </c>
      <c r="C12" s="5" t="inlineStr">
        <is>
          <t>Montarea panourilor de parazăpezi din metal, cu ancore</t>
        </is>
      </c>
      <c r="D12" t="inlineStr">
        <is>
          <t>buc</t>
        </is>
      </c>
      <c r="E12" s="6" t="n">
        <v>70</v>
      </c>
      <c r="F12" s="7">
        <f>ROUND(SUMIFS(Analiza!$J$7:$J$52,Analiza!$A$7:$A$52,$A12,Analiza!$K$7:$K$52,"Material"),2)</f>
        <v/>
      </c>
      <c r="G12" s="7">
        <f>ROUND(SUMIFS(Analiza!$J$7:$J$52,Analiza!$A$7:$A$52,$A12,Analiza!$K$7:$K$52,"Manopera"),2)</f>
        <v/>
      </c>
      <c r="H12" s="7">
        <f>ROUND(SUMIFS(Analiza!$J$7:$J$52,Analiza!$A$7:$A$52,$A12,Analiza!$K$7:$K$52,"Utilaj"),2)</f>
        <v/>
      </c>
      <c r="I12" s="7">
        <f>ROUND(SUMIFS(Analiza!$J$7:$J$52,Analiza!$A$7:$A$52,$A12,Analiza!$K$7:$K$52,"Transport"),2)</f>
        <v/>
      </c>
      <c r="J12" s="7">
        <f>ROUND($E12*F12,2)</f>
        <v/>
      </c>
      <c r="K12" s="7">
        <f>ROUND($E12*G12,2)</f>
        <v/>
      </c>
      <c r="L12" s="7">
        <f>ROUND($E12*H12,2)</f>
        <v/>
      </c>
      <c r="M12" s="7">
        <f>ROUND($E12*I12,2)</f>
        <v/>
      </c>
      <c r="N12" s="7">
        <f>SUM(J12:M12)</f>
        <v/>
      </c>
    </row>
    <row r="13">
      <c r="A13" t="n">
        <v>6</v>
      </c>
      <c r="B13" t="inlineStr">
        <is>
          <t>RPIZD31B</t>
        </is>
      </c>
      <c r="C13" s="5" t="inlineStr">
        <is>
          <t>Etanșarea sau fixarea protecțiilor din tablă la îmbinări sau a izolației cu inele din bandă Al 1×20 mm</t>
        </is>
      </c>
      <c r="D13" t="inlineStr">
        <is>
          <t>m</t>
        </is>
      </c>
      <c r="E13" s="6" t="n">
        <v>60</v>
      </c>
      <c r="F13" s="7">
        <f>ROUND(SUMIFS(Analiza!$J$7:$J$52,Analiza!$A$7:$A$52,$A13,Analiza!$K$7:$K$52,"Material"),2)</f>
        <v/>
      </c>
      <c r="G13" s="7">
        <f>ROUND(SUMIFS(Analiza!$J$7:$J$52,Analiza!$A$7:$A$52,$A13,Analiza!$K$7:$K$52,"Manopera"),2)</f>
        <v/>
      </c>
      <c r="H13" s="7">
        <f>ROUND(SUMIFS(Analiza!$J$7:$J$52,Analiza!$A$7:$A$52,$A13,Analiza!$K$7:$K$52,"Utilaj"),2)</f>
        <v/>
      </c>
      <c r="I13" s="7">
        <f>ROUND(SUMIFS(Analiza!$J$7:$J$52,Analiza!$A$7:$A$52,$A13,Analiza!$K$7:$K$52,"Transport"),2)</f>
        <v/>
      </c>
      <c r="J13" s="7">
        <f>ROUND($E13*F13,2)</f>
        <v/>
      </c>
      <c r="K13" s="7">
        <f>ROUND($E13*G13,2)</f>
        <v/>
      </c>
      <c r="L13" s="7">
        <f>ROUND($E13*H13,2)</f>
        <v/>
      </c>
      <c r="M13" s="7">
        <f>ROUND($E13*I13,2)</f>
        <v/>
      </c>
      <c r="N13" s="7">
        <f>SUM(J13:M13)</f>
        <v/>
      </c>
    </row>
    <row r="14">
      <c r="A14" t="n">
        <v>7</v>
      </c>
      <c r="B14" t="inlineStr">
        <is>
          <t>W1C11B1</t>
        </is>
      </c>
      <c r="C14" s="5" t="inlineStr">
        <is>
          <t>Plasă metalică de protecție pe cadru de oțel, ușă din plasă – montare</t>
        </is>
      </c>
      <c r="D14" t="inlineStr">
        <is>
          <t>mp</t>
        </is>
      </c>
      <c r="E14" s="6" t="n">
        <v>64</v>
      </c>
      <c r="F14" s="7">
        <f>ROUND(SUMIFS(Analiza!$J$7:$J$52,Analiza!$A$7:$A$52,$A14,Analiza!$K$7:$K$52,"Material"),2)</f>
        <v/>
      </c>
      <c r="G14" s="7">
        <f>ROUND(SUMIFS(Analiza!$J$7:$J$52,Analiza!$A$7:$A$52,$A14,Analiza!$K$7:$K$52,"Manopera"),2)</f>
        <v/>
      </c>
      <c r="H14" s="7">
        <f>ROUND(SUMIFS(Analiza!$J$7:$J$52,Analiza!$A$7:$A$52,$A14,Analiza!$K$7:$K$52,"Utilaj"),2)</f>
        <v/>
      </c>
      <c r="I14" s="7">
        <f>ROUND(SUMIFS(Analiza!$J$7:$J$52,Analiza!$A$7:$A$52,$A14,Analiza!$K$7:$K$52,"Transport"),2)</f>
        <v/>
      </c>
      <c r="J14" s="7">
        <f>ROUND($E14*F14,2)</f>
        <v/>
      </c>
      <c r="K14" s="7">
        <f>ROUND($E14*G14,2)</f>
        <v/>
      </c>
      <c r="L14" s="7">
        <f>ROUND($E14*H14,2)</f>
        <v/>
      </c>
      <c r="M14" s="7">
        <f>ROUND($E14*I14,2)</f>
        <v/>
      </c>
      <c r="N14" s="7">
        <f>SUM(J14:M14)</f>
        <v/>
      </c>
    </row>
    <row r="15">
      <c r="A15" t="n">
        <v>8</v>
      </c>
      <c r="B15" t="inlineStr">
        <is>
          <t>TRB22E6B</t>
        </is>
      </c>
      <c r="C15" s="5" t="inlineStr">
        <is>
          <t>Manipulat materiale și elemente prefabricate cu macara turn, greutatea sarcinii la fiecare transport = 0,5–1 t</t>
        </is>
      </c>
      <c r="D15" t="inlineStr">
        <is>
          <t>tonă</t>
        </is>
      </c>
      <c r="E15" s="6" t="n">
        <v>35</v>
      </c>
      <c r="F15" s="7">
        <f>ROUND(SUMIFS(Analiza!$J$7:$J$52,Analiza!$A$7:$A$52,$A15,Analiza!$K$7:$K$52,"Material"),2)</f>
        <v/>
      </c>
      <c r="G15" s="7">
        <f>ROUND(SUMIFS(Analiza!$J$7:$J$52,Analiza!$A$7:$A$52,$A15,Analiza!$K$7:$K$52,"Manopera"),2)</f>
        <v/>
      </c>
      <c r="H15" s="7">
        <f>ROUND(SUMIFS(Analiza!$J$7:$J$52,Analiza!$A$7:$A$52,$A15,Analiza!$K$7:$K$52,"Utilaj"),2)</f>
        <v/>
      </c>
      <c r="I15" s="7">
        <f>ROUND(SUMIFS(Analiza!$J$7:$J$52,Analiza!$A$7:$A$52,$A15,Analiza!$K$7:$K$52,"Transport"),2)</f>
        <v/>
      </c>
      <c r="J15" s="7">
        <f>ROUND($E15*F15,2)</f>
        <v/>
      </c>
      <c r="K15" s="7">
        <f>ROUND($E15*G15,2)</f>
        <v/>
      </c>
      <c r="L15" s="7">
        <f>ROUND($E15*H15,2)</f>
        <v/>
      </c>
      <c r="M15" s="7">
        <f>ROUND($E15*I15,2)</f>
        <v/>
      </c>
      <c r="N15" s="7">
        <f>SUM(J15:M15)</f>
        <v/>
      </c>
    </row>
    <row r="16">
      <c r="A16" t="n">
        <v>9</v>
      </c>
      <c r="B16" t="inlineStr">
        <is>
          <t>CB41B1</t>
        </is>
      </c>
      <c r="C16" s="5" t="inlineStr">
        <is>
          <t>Susțineri din schelă metalică, sarcina 1000 daN/mp, cu înălțimea de 3–6 m, la parter</t>
        </is>
      </c>
      <c r="D16" t="inlineStr">
        <is>
          <t>mp</t>
        </is>
      </c>
      <c r="E16" s="6" t="n">
        <v>64</v>
      </c>
      <c r="F16" s="7">
        <f>ROUND(SUMIFS(Analiza!$J$7:$J$52,Analiza!$A$7:$A$52,$A16,Analiza!$K$7:$K$52,"Material"),2)</f>
        <v/>
      </c>
      <c r="G16" s="7">
        <f>ROUND(SUMIFS(Analiza!$J$7:$J$52,Analiza!$A$7:$A$52,$A16,Analiza!$K$7:$K$52,"Manopera"),2)</f>
        <v/>
      </c>
      <c r="H16" s="7">
        <f>ROUND(SUMIFS(Analiza!$J$7:$J$52,Analiza!$A$7:$A$52,$A16,Analiza!$K$7:$K$52,"Utilaj"),2)</f>
        <v/>
      </c>
      <c r="I16" s="7">
        <f>ROUND(SUMIFS(Analiza!$J$7:$J$52,Analiza!$A$7:$A$52,$A16,Analiza!$K$7:$K$52,"Transport"),2)</f>
        <v/>
      </c>
      <c r="J16" s="7">
        <f>ROUND($E16*F16,2)</f>
        <v/>
      </c>
      <c r="K16" s="7">
        <f>ROUND($E16*G16,2)</f>
        <v/>
      </c>
      <c r="L16" s="7">
        <f>ROUND($E16*H16,2)</f>
        <v/>
      </c>
      <c r="M16" s="7">
        <f>ROUND($E16*I16,2)</f>
        <v/>
      </c>
      <c r="N16" s="7">
        <f>SUM(J16:M16)</f>
        <v/>
      </c>
    </row>
    <row r="17">
      <c r="A17" s="8" t="n"/>
      <c r="B17" s="8" t="n"/>
      <c r="C17" s="9" t="inlineStr">
        <is>
          <t>Total Pavilion C4 – antemăsurătoare (Anexa 1)</t>
        </is>
      </c>
      <c r="D17" s="8" t="n"/>
      <c r="E17" s="8" t="n"/>
      <c r="F17" s="8" t="n"/>
      <c r="G17" s="8" t="n"/>
      <c r="H17" s="8" t="n"/>
      <c r="I17" s="8" t="n"/>
      <c r="J17" s="10">
        <f>SUM(J8:J16)</f>
        <v/>
      </c>
      <c r="K17" s="10">
        <f>SUM(K8:K16)</f>
        <v/>
      </c>
      <c r="L17" s="10">
        <f>SUM(L8:L16)</f>
        <v/>
      </c>
      <c r="M17" s="10">
        <f>SUM(M8:M16)</f>
        <v/>
      </c>
      <c r="N17" s="10">
        <f>SUM(N8:N16)</f>
        <v/>
      </c>
    </row>
    <row r="19">
      <c r="C19" s="4" t="inlineStr">
        <is>
          <t>Total cheltuieli directe din articole</t>
        </is>
      </c>
      <c r="J19" s="7">
        <f>J17</f>
        <v/>
      </c>
      <c r="K19" s="7">
        <f>K17</f>
        <v/>
      </c>
      <c r="L19" s="7">
        <f>L17</f>
        <v/>
      </c>
      <c r="M19" s="7">
        <f>M17</f>
        <v/>
      </c>
      <c r="N19" s="7">
        <f>N17</f>
        <v/>
      </c>
    </row>
    <row r="20">
      <c r="C20" t="inlineStr">
        <is>
          <t>Contribuție asiguratorie pentru muncă (CAM, % din manoperă)</t>
        </is>
      </c>
      <c r="E20" s="11" t="n">
        <v>0.0225</v>
      </c>
      <c r="K20" s="7">
        <f>ROUND(K19*E20,2)</f>
        <v/>
      </c>
      <c r="N20" s="7">
        <f>K20</f>
        <v/>
      </c>
    </row>
    <row r="21">
      <c r="C21" s="4" t="inlineStr">
        <is>
          <t>Total cheltuieli directe (inclusiv CAM)</t>
        </is>
      </c>
      <c r="N21" s="7">
        <f>N19+N20</f>
        <v/>
      </c>
    </row>
    <row r="22">
      <c r="C22" t="inlineStr">
        <is>
          <t>Cheltuieli indirecte (% din cheltuieli directe)</t>
        </is>
      </c>
      <c r="E22" s="12" t="n">
        <v>0.03</v>
      </c>
      <c r="N22" s="7">
        <f>ROUND(N21*E22,2)</f>
        <v/>
      </c>
    </row>
    <row r="23">
      <c r="C23" t="inlineStr">
        <is>
          <t>Profit (% din cheltuieli directe + indirecte)</t>
        </is>
      </c>
      <c r="E23" s="12" t="n">
        <v>0.09</v>
      </c>
      <c r="N23" s="7">
        <f>ROUND((N21+N22)*E23,2)</f>
        <v/>
      </c>
    </row>
    <row r="24">
      <c r="C24" s="4" t="inlineStr">
        <is>
          <t>TOTAL GENERAL (fără TVA) – se trece în formularul de ofertă</t>
        </is>
      </c>
      <c r="N24" s="13">
        <f>ROUND(N21+N22+N23,2)</f>
        <v/>
      </c>
    </row>
    <row r="25">
      <c r="C25" t="inlineStr">
        <is>
          <t>TVA</t>
        </is>
      </c>
      <c r="E25" s="14" t="n">
        <v>0.21</v>
      </c>
      <c r="N25" s="7">
        <f>ROUND(N24*E25,2)</f>
        <v/>
      </c>
    </row>
    <row r="26">
      <c r="C26" s="4" t="inlineStr">
        <is>
          <t>TOTAL GENERAL cu TVA</t>
        </is>
      </c>
      <c r="N26" s="7">
        <f>N24+N25</f>
        <v/>
      </c>
    </row>
    <row r="28">
      <c r="C28" t="inlineStr">
        <is>
          <t>Valoarea estimată de autoritatea contractantă (fără TVA)</t>
        </is>
      </c>
      <c r="N28" s="7" t="n">
        <v>77677.10000000001</v>
      </c>
    </row>
    <row r="29">
      <c r="C29" t="inlineStr">
        <is>
          <t>Încadrare în valoarea estimată</t>
        </is>
      </c>
      <c r="N29">
        <f>IF(N24&lt;=N28,"DA – "&amp;TEXT(N24/N28,"0,0%")&amp;" din valoarea estimată","NU – depășește valoarea estimată")</f>
        <v/>
      </c>
    </row>
    <row r="31">
      <c r="C31" s="15" t="inlineStr">
        <is>
          <t>Notă: Sursa: Antemăsurătoarea pav. C4 (Anexa 1, întocmit ing. Iulia Păunescu) din documentația anunțului ADV1550471. Specificațiile tehnice (Anexa 2) cer: termen de execuție 45 de zile calendaristice, garanție 36 de luni, vizitarea obligatorie a amplasamentului.</t>
        </is>
      </c>
    </row>
    <row r="33">
      <c r="C33" t="inlineStr">
        <is>
          <t>OFERTANT,</t>
        </is>
      </c>
    </row>
    <row r="34">
      <c r="C34" t="inlineStr">
        <is>
          <t>BILZI STEEL PROFILE S.R.L.</t>
        </is>
      </c>
    </row>
    <row r="35">
      <c r="C35" t="inlineStr">
        <is>
          <t>Șerban Marius – administrator</t>
        </is>
      </c>
    </row>
    <row r="36">
      <c r="C36" t="inlineStr">
        <is>
          <t>Semnătura și ștampila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  <col width="11" customWidth="1" min="4" max="4"/>
    <col width="14" customWidth="1" min="5" max="5"/>
    <col width="80" customWidth="1" min="6" max="6"/>
  </cols>
  <sheetData>
    <row r="1">
      <c r="A1" s="1" t="inlineStr">
        <is>
          <t>Prețuri resurse (fără TVA)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Cod</t>
        </is>
      </c>
      <c r="B6" s="3" t="inlineStr">
        <is>
          <t>Denumire resursă</t>
        </is>
      </c>
      <c r="C6" s="3" t="inlineStr">
        <is>
          <t>UM</t>
        </is>
      </c>
      <c r="D6" s="3" t="inlineStr">
        <is>
          <t>Categorie</t>
        </is>
      </c>
      <c r="E6" s="3" t="inlineStr">
        <is>
          <t>Preț unitar (lei)</t>
        </is>
      </c>
      <c r="F6" s="3" t="inlineStr">
        <is>
          <t>Sursa prețului</t>
        </is>
      </c>
    </row>
    <row r="7">
      <c r="A7" t="inlineStr">
        <is>
          <t>M03</t>
        </is>
      </c>
      <c r="B7" t="inlineStr">
        <is>
          <t>Șipci 50×50 și contrașipci 30×50 rășinoase, tratate</t>
        </is>
      </c>
      <c r="C7" t="inlineStr">
        <is>
          <t>mc</t>
        </is>
      </c>
      <c r="D7" t="inlineStr">
        <is>
          <t>Material</t>
        </is>
      </c>
      <c r="E7" s="16" t="n">
        <v>1150</v>
      </c>
      <c r="F7" t="inlineStr">
        <is>
          <t>Depozite cherestea 02.10.2026: șipcă 50×50 2,69–3,10 lei/ml, contrașipcă 1,03–1,55 lei/ml → ~1.150 lei/mc</t>
        </is>
      </c>
    </row>
    <row r="8">
      <c r="A8" t="inlineStr">
        <is>
          <t>M05</t>
        </is>
      </c>
      <c r="B8" t="inlineStr">
        <is>
          <t>Cuie pentru astereală / șipci</t>
        </is>
      </c>
      <c r="C8" t="inlineStr">
        <is>
          <t>kg</t>
        </is>
      </c>
      <c r="D8" t="inlineStr">
        <is>
          <t>Material</t>
        </is>
      </c>
      <c r="E8" s="16" t="n">
        <v>9</v>
      </c>
      <c r="F8" t="inlineStr">
        <is>
          <t>Estimare (Onești) – de verificat</t>
        </is>
      </c>
    </row>
    <row r="9">
      <c r="A9" t="inlineStr">
        <is>
          <t>M06</t>
        </is>
      </c>
      <c r="B9" t="inlineStr">
        <is>
          <t>Soluție fungicidă / insecticidă pentru lemn</t>
        </is>
      </c>
      <c r="C9" t="inlineStr">
        <is>
          <t>l</t>
        </is>
      </c>
      <c r="D9" t="inlineStr">
        <is>
          <t>Material</t>
        </is>
      </c>
      <c r="E9" s="16" t="n">
        <v>14</v>
      </c>
      <c r="F9" t="inlineStr">
        <is>
          <t>Estimare – de verificat</t>
        </is>
      </c>
    </row>
    <row r="10">
      <c r="A10" t="inlineStr">
        <is>
          <t>M08</t>
        </is>
      </c>
      <c r="B10" t="inlineStr">
        <is>
          <t>Folie anticondens min. 120 g/mp</t>
        </is>
      </c>
      <c r="C10" t="inlineStr">
        <is>
          <t>mp</t>
        </is>
      </c>
      <c r="D10" t="inlineStr">
        <is>
          <t>Material</t>
        </is>
      </c>
      <c r="E10" s="16" t="n">
        <v>4.18</v>
      </c>
      <c r="F10" t="inlineStr">
        <is>
          <t>Listă Bilka / Dedeman 02.10.2026: folie anticondens 120–150 g/mp, rolă 75 mp</t>
        </is>
      </c>
    </row>
    <row r="11">
      <c r="A11" t="inlineStr">
        <is>
          <t>M30</t>
        </is>
      </c>
      <c r="B11" t="inlineStr">
        <is>
          <t>Țiglă ceramică solzi / olan (completare)</t>
        </is>
      </c>
      <c r="C11" t="inlineStr">
        <is>
          <t>buc</t>
        </is>
      </c>
      <c r="D11" t="inlineStr">
        <is>
          <t>Material</t>
        </is>
      </c>
      <c r="E11" s="16" t="n">
        <v>3.11</v>
      </c>
      <c r="F11" t="inlineStr">
        <is>
          <t>Dedeman 02.10.2026: Creaton Klassic Biber natur 104,4 lei/mp ÷ 33,6 buc/mp</t>
        </is>
      </c>
    </row>
    <row r="12">
      <c r="A12" t="inlineStr">
        <is>
          <t>M31</t>
        </is>
      </c>
      <c r="B12" t="inlineStr">
        <is>
          <t>Coamă ceramică pentru țiglă solzi (pe mp de învelitoare)</t>
        </is>
      </c>
      <c r="C12" t="inlineStr">
        <is>
          <t>buc</t>
        </is>
      </c>
      <c r="D12" t="inlineStr">
        <is>
          <t>Material</t>
        </is>
      </c>
      <c r="E12" s="16" t="n">
        <v>40.86</v>
      </c>
      <c r="F12" t="inlineStr">
        <is>
          <t>Dedeman 02.10.2026: coamă ceramică Creaton 40,86 lei/buc fără TVA</t>
        </is>
      </c>
    </row>
    <row r="13">
      <c r="A13" t="inlineStr">
        <is>
          <t>M32</t>
        </is>
      </c>
      <c r="B13" t="inlineStr">
        <is>
          <t>Sârmă zincată / cârlige de prindere țiglă</t>
        </is>
      </c>
      <c r="C13" t="inlineStr">
        <is>
          <t>kg</t>
        </is>
      </c>
      <c r="D13" t="inlineStr">
        <is>
          <t>Material</t>
        </is>
      </c>
      <c r="E13" s="16" t="n">
        <v>12</v>
      </c>
      <c r="F13" t="inlineStr">
        <is>
          <t>Estimare – de verificat</t>
        </is>
      </c>
    </row>
    <row r="14">
      <c r="A14" t="inlineStr">
        <is>
          <t>M33</t>
        </is>
      </c>
      <c r="B14" t="inlineStr">
        <is>
          <t>Mortar de ciment-var M100 (uscat, sac)</t>
        </is>
      </c>
      <c r="C14" t="inlineStr">
        <is>
          <t>kg</t>
        </is>
      </c>
      <c r="D14" t="inlineStr">
        <is>
          <t>Material</t>
        </is>
      </c>
      <c r="E14" s="16" t="n">
        <v>0.6</v>
      </c>
      <c r="F14" t="inlineStr">
        <is>
          <t>Estimare – de verificat</t>
        </is>
      </c>
    </row>
    <row r="15">
      <c r="A15" t="inlineStr">
        <is>
          <t>M34</t>
        </is>
      </c>
      <c r="B15" t="inlineStr">
        <is>
          <t>Tablă zincată 0,50 mm (desfășurată jgheab 33 cm + pierderi)</t>
        </is>
      </c>
      <c r="C15" t="inlineStr">
        <is>
          <t>mp</t>
        </is>
      </c>
      <c r="D15" t="inlineStr">
        <is>
          <t>Material</t>
        </is>
      </c>
      <c r="E15" s="16" t="n">
        <v>31.65</v>
      </c>
      <c r="F15" t="inlineStr">
        <is>
          <t>Constal 02.10.2026: tablă zincată 0,5 mm 31,65 lei/mp fără TVA</t>
        </is>
      </c>
    </row>
    <row r="16">
      <c r="A16" t="inlineStr">
        <is>
          <t>M35</t>
        </is>
      </c>
      <c r="B16" t="inlineStr">
        <is>
          <t>Cârlig jgheab zincat semirotund</t>
        </is>
      </c>
      <c r="C16" t="inlineStr">
        <is>
          <t>buc</t>
        </is>
      </c>
      <c r="D16" t="inlineStr">
        <is>
          <t>Material</t>
        </is>
      </c>
      <c r="E16" s="16" t="n">
        <v>6.5</v>
      </c>
      <c r="F16" t="inlineStr">
        <is>
          <t>Estimare – de verificat</t>
        </is>
      </c>
    </row>
    <row r="17">
      <c r="A17" t="inlineStr">
        <is>
          <t>M36</t>
        </is>
      </c>
      <c r="B17" t="inlineStr">
        <is>
          <t>Aliaj de lipit Sn-Pb LP30</t>
        </is>
      </c>
      <c r="C17" t="inlineStr">
        <is>
          <t>kg</t>
        </is>
      </c>
      <c r="D17" t="inlineStr">
        <is>
          <t>Material</t>
        </is>
      </c>
      <c r="E17" s="16" t="n">
        <v>140</v>
      </c>
      <c r="F17" t="inlineStr">
        <is>
          <t>Estimare – de verificat</t>
        </is>
      </c>
    </row>
    <row r="18">
      <c r="A18" t="inlineStr">
        <is>
          <t>M37</t>
        </is>
      </c>
      <c r="B18" t="inlineStr">
        <is>
          <t>Accesorii jgheab (capace, colțuri, ștuț) – cotă pe ml</t>
        </is>
      </c>
      <c r="C18" t="inlineStr">
        <is>
          <t>buc</t>
        </is>
      </c>
      <c r="D18" t="inlineStr">
        <is>
          <t>Material</t>
        </is>
      </c>
      <c r="E18" s="16" t="n">
        <v>14</v>
      </c>
      <c r="F18" t="inlineStr">
        <is>
          <t>Estimare – de verificat</t>
        </is>
      </c>
    </row>
    <row r="19">
      <c r="A19" t="inlineStr">
        <is>
          <t>M38</t>
        </is>
      </c>
      <c r="B19" t="inlineStr">
        <is>
          <t>Panou parazăpadă metalic zincat (tip grilă)</t>
        </is>
      </c>
      <c r="C19" t="inlineStr">
        <is>
          <t>buc</t>
        </is>
      </c>
      <c r="D19" t="inlineStr">
        <is>
          <t>Material</t>
        </is>
      </c>
      <c r="E19" s="16" t="n">
        <v>48</v>
      </c>
      <c r="F19" t="inlineStr">
        <is>
          <t>Estimare – de verificat</t>
        </is>
      </c>
    </row>
    <row r="20">
      <c r="A20" t="inlineStr">
        <is>
          <t>M39</t>
        </is>
      </c>
      <c r="B20" t="inlineStr">
        <is>
          <t>Ancoră / suport parazăpadă prins în căprior</t>
        </is>
      </c>
      <c r="C20" t="inlineStr">
        <is>
          <t>buc</t>
        </is>
      </c>
      <c r="D20" t="inlineStr">
        <is>
          <t>Material</t>
        </is>
      </c>
      <c r="E20" s="16" t="n">
        <v>7</v>
      </c>
      <c r="F20" t="inlineStr">
        <is>
          <t>Estimare – de verificat</t>
        </is>
      </c>
    </row>
    <row r="21">
      <c r="A21" t="inlineStr">
        <is>
          <t>M40</t>
        </is>
      </c>
      <c r="B21" t="inlineStr">
        <is>
          <t>Bandă de aluminiu 1×20 mm</t>
        </is>
      </c>
      <c r="C21" t="inlineStr">
        <is>
          <t>ml</t>
        </is>
      </c>
      <c r="D21" t="inlineStr">
        <is>
          <t>Material</t>
        </is>
      </c>
      <c r="E21" s="16" t="n">
        <v>6</v>
      </c>
      <c r="F21" t="inlineStr">
        <is>
          <t>Estimare – de verificat</t>
        </is>
      </c>
    </row>
    <row r="22">
      <c r="A22" t="inlineStr">
        <is>
          <t>M41</t>
        </is>
      </c>
      <c r="B22" t="inlineStr">
        <is>
          <t>Nituri / șuruburi pentru inele</t>
        </is>
      </c>
      <c r="C22" t="inlineStr">
        <is>
          <t>buc</t>
        </is>
      </c>
      <c r="D22" t="inlineStr">
        <is>
          <t>Material</t>
        </is>
      </c>
      <c r="E22" s="16" t="n">
        <v>0.3</v>
      </c>
      <c r="F22" t="inlineStr">
        <is>
          <t>Estimare – de verificat</t>
        </is>
      </c>
    </row>
    <row r="23">
      <c r="A23" t="inlineStr">
        <is>
          <t>M42</t>
        </is>
      </c>
      <c r="B23" t="inlineStr">
        <is>
          <t>Plasă metalică zincată pentru protecție</t>
        </is>
      </c>
      <c r="C23" t="inlineStr">
        <is>
          <t>mp</t>
        </is>
      </c>
      <c r="D23" t="inlineStr">
        <is>
          <t>Material</t>
        </is>
      </c>
      <c r="E23" s="16" t="n">
        <v>28</v>
      </c>
      <c r="F23" t="inlineStr">
        <is>
          <t>Estimare – de verificat</t>
        </is>
      </c>
    </row>
    <row r="24">
      <c r="A24" t="inlineStr">
        <is>
          <t>M43</t>
        </is>
      </c>
      <c r="B24" t="inlineStr">
        <is>
          <t>Profile oțel (cornier / țeavă rectangulară) pentru cadru</t>
        </is>
      </c>
      <c r="C24" t="inlineStr">
        <is>
          <t>kg</t>
        </is>
      </c>
      <c r="D24" t="inlineStr">
        <is>
          <t>Material</t>
        </is>
      </c>
      <c r="E24" s="16" t="n">
        <v>8</v>
      </c>
      <c r="F24" t="inlineStr">
        <is>
          <t>Estimare – de verificat</t>
        </is>
      </c>
    </row>
    <row r="25">
      <c r="A25" t="inlineStr">
        <is>
          <t>M44</t>
        </is>
      </c>
      <c r="B25" t="inlineStr">
        <is>
          <t>Vopsea anticorozivă + email</t>
        </is>
      </c>
      <c r="C25" t="inlineStr">
        <is>
          <t>kg</t>
        </is>
      </c>
      <c r="D25" t="inlineStr">
        <is>
          <t>Material</t>
        </is>
      </c>
      <c r="E25" s="16" t="n">
        <v>30</v>
      </c>
      <c r="F25" t="inlineStr">
        <is>
          <t>Estimare – de verificat</t>
        </is>
      </c>
    </row>
    <row r="26">
      <c r="A26" t="inlineStr">
        <is>
          <t>M45</t>
        </is>
      </c>
      <c r="B26" t="inlineStr">
        <is>
          <t>Electrozi sudură</t>
        </is>
      </c>
      <c r="C26" t="inlineStr">
        <is>
          <t>kg</t>
        </is>
      </c>
      <c r="D26" t="inlineStr">
        <is>
          <t>Material</t>
        </is>
      </c>
      <c r="E26" s="16" t="n">
        <v>22</v>
      </c>
      <c r="F26" t="inlineStr">
        <is>
          <t>Estimare – de verificat</t>
        </is>
      </c>
    </row>
    <row r="27">
      <c r="A27" t="inlineStr">
        <is>
          <t>O01</t>
        </is>
      </c>
      <c r="B27" t="inlineStr">
        <is>
          <t>Dulgher</t>
        </is>
      </c>
      <c r="C27" t="inlineStr">
        <is>
          <t>ore</t>
        </is>
      </c>
      <c r="D27" t="inlineStr">
        <is>
          <t>Manopera</t>
        </is>
      </c>
      <c r="E27" s="16" t="n">
        <v>35</v>
      </c>
      <c r="F27" t="inlineStr">
        <is>
          <t>Tarif BILZI (ca la oferta Onești 01.10.2026)</t>
        </is>
      </c>
    </row>
    <row r="28">
      <c r="A28" t="inlineStr">
        <is>
          <t>O02</t>
        </is>
      </c>
      <c r="B28" t="inlineStr">
        <is>
          <t>Montator învelitori / tinichigiu</t>
        </is>
      </c>
      <c r="C28" t="inlineStr">
        <is>
          <t>ore</t>
        </is>
      </c>
      <c r="D28" t="inlineStr">
        <is>
          <t>Manopera</t>
        </is>
      </c>
      <c r="E28" s="16" t="n">
        <v>35</v>
      </c>
      <c r="F28" t="inlineStr">
        <is>
          <t>Tarif BILZI (ca la oferta Onești 01.10.2026)</t>
        </is>
      </c>
    </row>
    <row r="29">
      <c r="A29" t="inlineStr">
        <is>
          <t>O03</t>
        </is>
      </c>
      <c r="B29" t="inlineStr">
        <is>
          <t>Muncitor necalificat</t>
        </is>
      </c>
      <c r="C29" t="inlineStr">
        <is>
          <t>ore</t>
        </is>
      </c>
      <c r="D29" t="inlineStr">
        <is>
          <t>Manopera</t>
        </is>
      </c>
      <c r="E29" s="16" t="n">
        <v>25</v>
      </c>
      <c r="F29" t="inlineStr">
        <is>
          <t>Tarif BILZI (ca la oferta Onești 01.10.2026)</t>
        </is>
      </c>
    </row>
    <row r="30">
      <c r="A30" t="inlineStr">
        <is>
          <t>O06</t>
        </is>
      </c>
      <c r="B30" t="inlineStr">
        <is>
          <t>Lăcătuș / sudor</t>
        </is>
      </c>
      <c r="C30" t="inlineStr">
        <is>
          <t>ore</t>
        </is>
      </c>
      <c r="D30" t="inlineStr">
        <is>
          <t>Manopera</t>
        </is>
      </c>
      <c r="E30" s="16" t="n">
        <v>38</v>
      </c>
      <c r="F30" t="inlineStr">
        <is>
          <t>Estimare – de verificat</t>
        </is>
      </c>
    </row>
    <row r="31">
      <c r="A31" t="inlineStr">
        <is>
          <t>O08</t>
        </is>
      </c>
      <c r="B31" t="inlineStr">
        <is>
          <t>Montator schele</t>
        </is>
      </c>
      <c r="C31" t="inlineStr">
        <is>
          <t>ore</t>
        </is>
      </c>
      <c r="D31" t="inlineStr">
        <is>
          <t>Manopera</t>
        </is>
      </c>
      <c r="E31" s="16" t="n">
        <v>30</v>
      </c>
      <c r="F31" t="inlineStr">
        <is>
          <t>Estimare – de verificat</t>
        </is>
      </c>
    </row>
    <row r="32">
      <c r="A32" t="inlineStr">
        <is>
          <t>U01</t>
        </is>
      </c>
      <c r="B32" t="inlineStr">
        <is>
          <t>Fierăstrău circular electric</t>
        </is>
      </c>
      <c r="C32" t="inlineStr">
        <is>
          <t>ore</t>
        </is>
      </c>
      <c r="D32" t="inlineStr">
        <is>
          <t>Utilaj</t>
        </is>
      </c>
      <c r="E32" s="16" t="n">
        <v>10</v>
      </c>
      <c r="F32" t="inlineStr">
        <is>
          <t>Tarif BILZI (Onești)</t>
        </is>
      </c>
    </row>
    <row r="33">
      <c r="A33" t="inlineStr">
        <is>
          <t>U02</t>
        </is>
      </c>
      <c r="B33" t="inlineStr">
        <is>
          <t>Mașină de înșurubat / găurit electrică</t>
        </is>
      </c>
      <c r="C33" t="inlineStr">
        <is>
          <t>ore</t>
        </is>
      </c>
      <c r="D33" t="inlineStr">
        <is>
          <t>Utilaj</t>
        </is>
      </c>
      <c r="E33" s="16" t="n">
        <v>8</v>
      </c>
      <c r="F33" t="inlineStr">
        <is>
          <t>Tarif BILZI (Onești)</t>
        </is>
      </c>
    </row>
    <row r="34">
      <c r="A34" t="inlineStr">
        <is>
          <t>U04</t>
        </is>
      </c>
      <c r="B34" t="inlineStr">
        <is>
          <t>Macara / automacara (închiriere cu operator)</t>
        </is>
      </c>
      <c r="C34" t="inlineStr">
        <is>
          <t>ore</t>
        </is>
      </c>
      <c r="D34" t="inlineStr">
        <is>
          <t>Utilaj</t>
        </is>
      </c>
      <c r="E34" s="16" t="n">
        <v>280</v>
      </c>
      <c r="F34" t="inlineStr">
        <is>
          <t>Estimare – de verificat</t>
        </is>
      </c>
    </row>
    <row r="35">
      <c r="A35" t="inlineStr">
        <is>
          <t>U05</t>
        </is>
      </c>
      <c r="B35" t="inlineStr">
        <is>
          <t>Aparat de sudură</t>
        </is>
      </c>
      <c r="C35" t="inlineStr">
        <is>
          <t>ore</t>
        </is>
      </c>
      <c r="D35" t="inlineStr">
        <is>
          <t>Utilaj</t>
        </is>
      </c>
      <c r="E35" s="16" t="n">
        <v>12</v>
      </c>
      <c r="F35" t="inlineStr">
        <is>
          <t>Estimare – de verificat</t>
        </is>
      </c>
    </row>
    <row r="36">
      <c r="A36" t="inlineStr">
        <is>
          <t>U06</t>
        </is>
      </c>
      <c r="B36" t="inlineStr">
        <is>
          <t>Schelă metalică (închiriere, montaj inclus în manoperă)</t>
        </is>
      </c>
      <c r="C36" t="inlineStr">
        <is>
          <t>mp·lună</t>
        </is>
      </c>
      <c r="D36" t="inlineStr">
        <is>
          <t>Utilaj</t>
        </is>
      </c>
      <c r="E36" s="16" t="n">
        <v>10</v>
      </c>
      <c r="F36" t="inlineStr">
        <is>
          <t>depozituldeschele.ro 02.10.2026: 8,26–11,57 lei/mp/lună fără TVA, fără montaj</t>
        </is>
      </c>
    </row>
    <row r="37">
      <c r="A37" t="inlineStr">
        <is>
          <t>U07</t>
        </is>
      </c>
      <c r="B37" t="inlineStr">
        <is>
          <t>Ciocan de lipit / letcon tinichigerie</t>
        </is>
      </c>
      <c r="C37" t="inlineStr">
        <is>
          <t>ore</t>
        </is>
      </c>
      <c r="D37" t="inlineStr">
        <is>
          <t>Utilaj</t>
        </is>
      </c>
      <c r="E37" s="16" t="n">
        <v>6</v>
      </c>
      <c r="F37" t="inlineStr">
        <is>
          <t>Estimare – de verificat</t>
        </is>
      </c>
    </row>
    <row r="38">
      <c r="A38" t="inlineStr">
        <is>
          <t>T01</t>
        </is>
      </c>
      <c r="B38" t="inlineStr">
        <is>
          <t>Transport rutier materiale cu autocamionul</t>
        </is>
      </c>
      <c r="C38" t="inlineStr">
        <is>
          <t>t·km</t>
        </is>
      </c>
      <c r="D38" t="inlineStr">
        <is>
          <t>Transport</t>
        </is>
      </c>
      <c r="E38" s="16" t="n">
        <v>3</v>
      </c>
      <c r="F38" t="inlineStr">
        <is>
          <t>Tarif BILZI (Onești)</t>
        </is>
      </c>
    </row>
    <row r="39">
      <c r="A39" t="inlineStr">
        <is>
          <t>T02</t>
        </is>
      </c>
      <c r="B39" t="inlineStr">
        <is>
          <t>Container moloz 7 mc (închiriere, transport și eliminare)</t>
        </is>
      </c>
      <c r="C39" t="inlineStr">
        <is>
          <t>buc</t>
        </is>
      </c>
      <c r="D39" t="inlineStr">
        <is>
          <t>Transport</t>
        </is>
      </c>
      <c r="E39" s="16" t="n">
        <v>1800</v>
      </c>
      <c r="F39" t="inlineStr">
        <is>
          <t>Reciclero 2.281 lei (7 zile, cu tratarea deșeurilor) / Moloz24 de la 400 lei – medie rotunjită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9" customWidth="1" min="3" max="3"/>
    <col width="45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1" customWidth="1" min="11" max="11"/>
    <col width="20" customWidth="1" min="12" max="12"/>
  </cols>
  <sheetData>
    <row r="1">
      <c r="A1" s="1" t="inlineStr">
        <is>
          <t>Analiza de preț pe articole – consumuri de resurse pe unitatea de măsură a articolului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 art.</t>
        </is>
      </c>
      <c r="B6" s="3" t="inlineStr">
        <is>
          <t>Articol</t>
        </is>
      </c>
      <c r="C6" s="3" t="inlineStr">
        <is>
          <t>Cod resursă</t>
        </is>
      </c>
      <c r="D6" s="3" t="inlineStr">
        <is>
          <t>Resursă</t>
        </is>
      </c>
      <c r="E6" s="3" t="inlineStr">
        <is>
          <t>UM</t>
        </is>
      </c>
      <c r="F6" s="3" t="inlineStr">
        <is>
          <t>Consum / UM articol</t>
        </is>
      </c>
      <c r="G6" s="3" t="inlineStr">
        <is>
          <t>Cantitate articol</t>
        </is>
      </c>
      <c r="H6" s="3" t="inlineStr">
        <is>
          <t>Consum total</t>
        </is>
      </c>
      <c r="I6" s="3" t="inlineStr">
        <is>
          <t>Preț unitar resursă (lei)</t>
        </is>
      </c>
      <c r="J6" s="3" t="inlineStr">
        <is>
          <t>Valoare / UM articol</t>
        </is>
      </c>
      <c r="K6" s="3" t="inlineStr">
        <is>
          <t>Categorie</t>
        </is>
      </c>
      <c r="L6" s="3" t="inlineStr">
        <is>
          <t>Observații</t>
        </is>
      </c>
    </row>
    <row r="7">
      <c r="A7">
        <f>F3!A8</f>
        <v/>
      </c>
      <c r="B7">
        <f>F3!C8</f>
        <v/>
      </c>
      <c r="C7" t="inlineStr">
        <is>
          <t>O02</t>
        </is>
      </c>
      <c r="D7">
        <f>Resurse!B28</f>
        <v/>
      </c>
      <c r="E7">
        <f>Resurse!C28</f>
        <v/>
      </c>
      <c r="F7" s="17" t="n">
        <v>0.15</v>
      </c>
      <c r="G7" s="6">
        <f>F3!E8</f>
        <v/>
      </c>
      <c r="H7" s="6">
        <f>F7*G7</f>
        <v/>
      </c>
      <c r="I7" s="7">
        <f>Resurse!E28</f>
        <v/>
      </c>
      <c r="J7" s="7">
        <f>F7*I7</f>
        <v/>
      </c>
      <c r="K7">
        <f>Resurse!D28</f>
        <v/>
      </c>
    </row>
    <row r="8">
      <c r="A8">
        <f>F3!A8</f>
        <v/>
      </c>
      <c r="B8">
        <f>F3!C8</f>
        <v/>
      </c>
      <c r="C8" t="inlineStr">
        <is>
          <t>O03</t>
        </is>
      </c>
      <c r="D8">
        <f>Resurse!B29</f>
        <v/>
      </c>
      <c r="E8">
        <f>Resurse!C29</f>
        <v/>
      </c>
      <c r="F8" s="17" t="n">
        <v>0.22</v>
      </c>
      <c r="G8" s="6">
        <f>F3!E8</f>
        <v/>
      </c>
      <c r="H8" s="6">
        <f>F8*G8</f>
        <v/>
      </c>
      <c r="I8" s="7">
        <f>Resurse!E29</f>
        <v/>
      </c>
      <c r="J8" s="7">
        <f>F8*I8</f>
        <v/>
      </c>
      <c r="K8">
        <f>Resurse!D29</f>
        <v/>
      </c>
    </row>
    <row r="9">
      <c r="A9">
        <f>F3!A8</f>
        <v/>
      </c>
      <c r="B9">
        <f>F3!C8</f>
        <v/>
      </c>
      <c r="C9" t="inlineStr">
        <is>
          <t>T02</t>
        </is>
      </c>
      <c r="D9">
        <f>Resurse!B39</f>
        <v/>
      </c>
      <c r="E9">
        <f>Resurse!C39</f>
        <v/>
      </c>
      <c r="F9" s="17" t="n">
        <v>0.003</v>
      </c>
      <c r="G9" s="6">
        <f>F3!E8</f>
        <v/>
      </c>
      <c r="H9" s="6">
        <f>F9*G9</f>
        <v/>
      </c>
      <c r="I9" s="7">
        <f>Resurse!E39</f>
        <v/>
      </c>
      <c r="J9" s="7">
        <f>F9*I9</f>
        <v/>
      </c>
      <c r="K9">
        <f>Resurse!D39</f>
        <v/>
      </c>
    </row>
    <row r="10">
      <c r="A10">
        <f>F3!A9</f>
        <v/>
      </c>
      <c r="B10">
        <f>F3!C9</f>
        <v/>
      </c>
      <c r="C10" t="inlineStr">
        <is>
          <t>M30</t>
        </is>
      </c>
      <c r="D10">
        <f>Resurse!B11</f>
        <v/>
      </c>
      <c r="E10">
        <f>Resurse!C11</f>
        <v/>
      </c>
      <c r="F10" s="17" t="n">
        <v>5.4</v>
      </c>
      <c r="G10" s="6">
        <f>F3!E9</f>
        <v/>
      </c>
      <c r="H10" s="6">
        <f>F10*G10</f>
        <v/>
      </c>
      <c r="I10" s="7">
        <f>Resurse!E11</f>
        <v/>
      </c>
      <c r="J10" s="7">
        <f>F10*I10</f>
        <v/>
      </c>
      <c r="K10">
        <f>Resurse!D11</f>
        <v/>
      </c>
    </row>
    <row r="11">
      <c r="A11">
        <f>F3!A9</f>
        <v/>
      </c>
      <c r="B11">
        <f>F3!C9</f>
        <v/>
      </c>
      <c r="C11" t="inlineStr">
        <is>
          <t>M31</t>
        </is>
      </c>
      <c r="D11">
        <f>Resurse!B12</f>
        <v/>
      </c>
      <c r="E11">
        <f>Resurse!C12</f>
        <v/>
      </c>
      <c r="F11" s="17" t="n">
        <v>0.06</v>
      </c>
      <c r="G11" s="6">
        <f>F3!E9</f>
        <v/>
      </c>
      <c r="H11" s="6">
        <f>F11*G11</f>
        <v/>
      </c>
      <c r="I11" s="7">
        <f>Resurse!E12</f>
        <v/>
      </c>
      <c r="J11" s="7">
        <f>F11*I11</f>
        <v/>
      </c>
      <c r="K11">
        <f>Resurse!D12</f>
        <v/>
      </c>
    </row>
    <row r="12">
      <c r="A12">
        <f>F3!A9</f>
        <v/>
      </c>
      <c r="B12">
        <f>F3!C9</f>
        <v/>
      </c>
      <c r="C12" t="inlineStr">
        <is>
          <t>M03</t>
        </is>
      </c>
      <c r="D12">
        <f>Resurse!B7</f>
        <v/>
      </c>
      <c r="E12">
        <f>Resurse!C7</f>
        <v/>
      </c>
      <c r="F12" s="17" t="n">
        <v>0.0065</v>
      </c>
      <c r="G12" s="6">
        <f>F3!E9</f>
        <v/>
      </c>
      <c r="H12" s="6">
        <f>F12*G12</f>
        <v/>
      </c>
      <c r="I12" s="7">
        <f>Resurse!E7</f>
        <v/>
      </c>
      <c r="J12" s="7">
        <f>F12*I12</f>
        <v/>
      </c>
      <c r="K12">
        <f>Resurse!D7</f>
        <v/>
      </c>
    </row>
    <row r="13">
      <c r="A13">
        <f>F3!A9</f>
        <v/>
      </c>
      <c r="B13">
        <f>F3!C9</f>
        <v/>
      </c>
      <c r="C13" t="inlineStr">
        <is>
          <t>M08</t>
        </is>
      </c>
      <c r="D13">
        <f>Resurse!B10</f>
        <v/>
      </c>
      <c r="E13">
        <f>Resurse!C10</f>
        <v/>
      </c>
      <c r="F13" s="17" t="n">
        <v>0.35</v>
      </c>
      <c r="G13" s="6">
        <f>F3!E9</f>
        <v/>
      </c>
      <c r="H13" s="6">
        <f>F13*G13</f>
        <v/>
      </c>
      <c r="I13" s="7">
        <f>Resurse!E10</f>
        <v/>
      </c>
      <c r="J13" s="7">
        <f>F13*I13</f>
        <v/>
      </c>
      <c r="K13">
        <f>Resurse!D10</f>
        <v/>
      </c>
    </row>
    <row r="14">
      <c r="A14">
        <f>F3!A9</f>
        <v/>
      </c>
      <c r="B14">
        <f>F3!C9</f>
        <v/>
      </c>
      <c r="C14" t="inlineStr">
        <is>
          <t>M05</t>
        </is>
      </c>
      <c r="D14">
        <f>Resurse!B8</f>
        <v/>
      </c>
      <c r="E14">
        <f>Resurse!C8</f>
        <v/>
      </c>
      <c r="F14" s="17" t="n">
        <v>0.12</v>
      </c>
      <c r="G14" s="6">
        <f>F3!E9</f>
        <v/>
      </c>
      <c r="H14" s="6">
        <f>F14*G14</f>
        <v/>
      </c>
      <c r="I14" s="7">
        <f>Resurse!E8</f>
        <v/>
      </c>
      <c r="J14" s="7">
        <f>F14*I14</f>
        <v/>
      </c>
      <c r="K14">
        <f>Resurse!D8</f>
        <v/>
      </c>
    </row>
    <row r="15">
      <c r="A15">
        <f>F3!A9</f>
        <v/>
      </c>
      <c r="B15">
        <f>F3!C9</f>
        <v/>
      </c>
      <c r="C15" t="inlineStr">
        <is>
          <t>M06</t>
        </is>
      </c>
      <c r="D15">
        <f>Resurse!B9</f>
        <v/>
      </c>
      <c r="E15">
        <f>Resurse!C9</f>
        <v/>
      </c>
      <c r="F15" s="17" t="n">
        <v>0.25</v>
      </c>
      <c r="G15" s="6">
        <f>F3!E9</f>
        <v/>
      </c>
      <c r="H15" s="6">
        <f>F15*G15</f>
        <v/>
      </c>
      <c r="I15" s="7">
        <f>Resurse!E9</f>
        <v/>
      </c>
      <c r="J15" s="7">
        <f>F15*I15</f>
        <v/>
      </c>
      <c r="K15">
        <f>Resurse!D9</f>
        <v/>
      </c>
    </row>
    <row r="16">
      <c r="A16">
        <f>F3!A9</f>
        <v/>
      </c>
      <c r="B16">
        <f>F3!C9</f>
        <v/>
      </c>
      <c r="C16" t="inlineStr">
        <is>
          <t>M32</t>
        </is>
      </c>
      <c r="D16">
        <f>Resurse!B13</f>
        <v/>
      </c>
      <c r="E16">
        <f>Resurse!C13</f>
        <v/>
      </c>
      <c r="F16" s="17" t="n">
        <v>0.1</v>
      </c>
      <c r="G16" s="6">
        <f>F3!E9</f>
        <v/>
      </c>
      <c r="H16" s="6">
        <f>F16*G16</f>
        <v/>
      </c>
      <c r="I16" s="7">
        <f>Resurse!E13</f>
        <v/>
      </c>
      <c r="J16" s="7">
        <f>F16*I16</f>
        <v/>
      </c>
      <c r="K16">
        <f>Resurse!D13</f>
        <v/>
      </c>
    </row>
    <row r="17">
      <c r="A17">
        <f>F3!A9</f>
        <v/>
      </c>
      <c r="B17">
        <f>F3!C9</f>
        <v/>
      </c>
      <c r="C17" t="inlineStr">
        <is>
          <t>O02</t>
        </is>
      </c>
      <c r="D17">
        <f>Resurse!B28</f>
        <v/>
      </c>
      <c r="E17">
        <f>Resurse!C28</f>
        <v/>
      </c>
      <c r="F17" s="17" t="n">
        <v>0.45</v>
      </c>
      <c r="G17" s="6">
        <f>F3!E9</f>
        <v/>
      </c>
      <c r="H17" s="6">
        <f>F17*G17</f>
        <v/>
      </c>
      <c r="I17" s="7">
        <f>Resurse!E28</f>
        <v/>
      </c>
      <c r="J17" s="7">
        <f>F17*I17</f>
        <v/>
      </c>
      <c r="K17">
        <f>Resurse!D28</f>
        <v/>
      </c>
    </row>
    <row r="18">
      <c r="A18">
        <f>F3!A9</f>
        <v/>
      </c>
      <c r="B18">
        <f>F3!C9</f>
        <v/>
      </c>
      <c r="C18" t="inlineStr">
        <is>
          <t>O01</t>
        </is>
      </c>
      <c r="D18">
        <f>Resurse!B27</f>
        <v/>
      </c>
      <c r="E18">
        <f>Resurse!C27</f>
        <v/>
      </c>
      <c r="F18" s="17" t="n">
        <v>0.1</v>
      </c>
      <c r="G18" s="6">
        <f>F3!E9</f>
        <v/>
      </c>
      <c r="H18" s="6">
        <f>F18*G18</f>
        <v/>
      </c>
      <c r="I18" s="7">
        <f>Resurse!E27</f>
        <v/>
      </c>
      <c r="J18" s="7">
        <f>F18*I18</f>
        <v/>
      </c>
      <c r="K18">
        <f>Resurse!D27</f>
        <v/>
      </c>
    </row>
    <row r="19">
      <c r="A19">
        <f>F3!A9</f>
        <v/>
      </c>
      <c r="B19">
        <f>F3!C9</f>
        <v/>
      </c>
      <c r="C19" t="inlineStr">
        <is>
          <t>O03</t>
        </is>
      </c>
      <c r="D19">
        <f>Resurse!B29</f>
        <v/>
      </c>
      <c r="E19">
        <f>Resurse!C29</f>
        <v/>
      </c>
      <c r="F19" s="17" t="n">
        <v>0.2</v>
      </c>
      <c r="G19" s="6">
        <f>F3!E9</f>
        <v/>
      </c>
      <c r="H19" s="6">
        <f>F19*G19</f>
        <v/>
      </c>
      <c r="I19" s="7">
        <f>Resurse!E29</f>
        <v/>
      </c>
      <c r="J19" s="7">
        <f>F19*I19</f>
        <v/>
      </c>
      <c r="K19">
        <f>Resurse!D29</f>
        <v/>
      </c>
    </row>
    <row r="20">
      <c r="A20">
        <f>F3!A9</f>
        <v/>
      </c>
      <c r="B20">
        <f>F3!C9</f>
        <v/>
      </c>
      <c r="C20" t="inlineStr">
        <is>
          <t>U01</t>
        </is>
      </c>
      <c r="D20">
        <f>Resurse!B32</f>
        <v/>
      </c>
      <c r="E20">
        <f>Resurse!C32</f>
        <v/>
      </c>
      <c r="F20" s="17" t="n">
        <v>0.03</v>
      </c>
      <c r="G20" s="6">
        <f>F3!E9</f>
        <v/>
      </c>
      <c r="H20" s="6">
        <f>F20*G20</f>
        <v/>
      </c>
      <c r="I20" s="7">
        <f>Resurse!E32</f>
        <v/>
      </c>
      <c r="J20" s="7">
        <f>F20*I20</f>
        <v/>
      </c>
      <c r="K20">
        <f>Resurse!D32</f>
        <v/>
      </c>
    </row>
    <row r="21">
      <c r="A21">
        <f>F3!A9</f>
        <v/>
      </c>
      <c r="B21">
        <f>F3!C9</f>
        <v/>
      </c>
      <c r="C21" t="inlineStr">
        <is>
          <t>T01</t>
        </is>
      </c>
      <c r="D21">
        <f>Resurse!B38</f>
        <v/>
      </c>
      <c r="E21">
        <f>Resurse!C38</f>
        <v/>
      </c>
      <c r="F21" s="17" t="n">
        <v>1.2</v>
      </c>
      <c r="G21" s="6">
        <f>F3!E9</f>
        <v/>
      </c>
      <c r="H21" s="6">
        <f>F21*G21</f>
        <v/>
      </c>
      <c r="I21" s="7">
        <f>Resurse!E38</f>
        <v/>
      </c>
      <c r="J21" s="7">
        <f>F21*I21</f>
        <v/>
      </c>
      <c r="K21">
        <f>Resurse!D38</f>
        <v/>
      </c>
    </row>
    <row r="22">
      <c r="A22">
        <f>F3!A10</f>
        <v/>
      </c>
      <c r="B22">
        <f>F3!C10</f>
        <v/>
      </c>
      <c r="C22" t="inlineStr">
        <is>
          <t>M30</t>
        </is>
      </c>
      <c r="D22">
        <f>Resurse!B11</f>
        <v/>
      </c>
      <c r="E22">
        <f>Resurse!C11</f>
        <v/>
      </c>
      <c r="F22" s="17" t="n">
        <v>6</v>
      </c>
      <c r="G22" s="6">
        <f>F3!E10</f>
        <v/>
      </c>
      <c r="H22" s="6">
        <f>F22*G22</f>
        <v/>
      </c>
      <c r="I22" s="7">
        <f>Resurse!E11</f>
        <v/>
      </c>
      <c r="J22" s="7">
        <f>F22*I22</f>
        <v/>
      </c>
      <c r="K22">
        <f>Resurse!D11</f>
        <v/>
      </c>
    </row>
    <row r="23">
      <c r="A23">
        <f>F3!A10</f>
        <v/>
      </c>
      <c r="B23">
        <f>F3!C10</f>
        <v/>
      </c>
      <c r="C23" t="inlineStr">
        <is>
          <t>M33</t>
        </is>
      </c>
      <c r="D23">
        <f>Resurse!B14</f>
        <v/>
      </c>
      <c r="E23">
        <f>Resurse!C14</f>
        <v/>
      </c>
      <c r="F23" s="17" t="n">
        <v>6</v>
      </c>
      <c r="G23" s="6">
        <f>F3!E10</f>
        <v/>
      </c>
      <c r="H23" s="6">
        <f>F23*G23</f>
        <v/>
      </c>
      <c r="I23" s="7">
        <f>Resurse!E14</f>
        <v/>
      </c>
      <c r="J23" s="7">
        <f>F23*I23</f>
        <v/>
      </c>
      <c r="K23">
        <f>Resurse!D14</f>
        <v/>
      </c>
    </row>
    <row r="24">
      <c r="A24">
        <f>F3!A10</f>
        <v/>
      </c>
      <c r="B24">
        <f>F3!C10</f>
        <v/>
      </c>
      <c r="C24" t="inlineStr">
        <is>
          <t>O02</t>
        </is>
      </c>
      <c r="D24">
        <f>Resurse!B28</f>
        <v/>
      </c>
      <c r="E24">
        <f>Resurse!C28</f>
        <v/>
      </c>
      <c r="F24" s="17" t="n">
        <v>0.6</v>
      </c>
      <c r="G24" s="6">
        <f>F3!E10</f>
        <v/>
      </c>
      <c r="H24" s="6">
        <f>F24*G24</f>
        <v/>
      </c>
      <c r="I24" s="7">
        <f>Resurse!E28</f>
        <v/>
      </c>
      <c r="J24" s="7">
        <f>F24*I24</f>
        <v/>
      </c>
      <c r="K24">
        <f>Resurse!D28</f>
        <v/>
      </c>
    </row>
    <row r="25">
      <c r="A25">
        <f>F3!A10</f>
        <v/>
      </c>
      <c r="B25">
        <f>F3!C10</f>
        <v/>
      </c>
      <c r="C25" t="inlineStr">
        <is>
          <t>O03</t>
        </is>
      </c>
      <c r="D25">
        <f>Resurse!B29</f>
        <v/>
      </c>
      <c r="E25">
        <f>Resurse!C29</f>
        <v/>
      </c>
      <c r="F25" s="17" t="n">
        <v>0.3</v>
      </c>
      <c r="G25" s="6">
        <f>F3!E10</f>
        <v/>
      </c>
      <c r="H25" s="6">
        <f>F25*G25</f>
        <v/>
      </c>
      <c r="I25" s="7">
        <f>Resurse!E29</f>
        <v/>
      </c>
      <c r="J25" s="7">
        <f>F25*I25</f>
        <v/>
      </c>
      <c r="K25">
        <f>Resurse!D29</f>
        <v/>
      </c>
    </row>
    <row r="26">
      <c r="A26">
        <f>F3!A10</f>
        <v/>
      </c>
      <c r="B26">
        <f>F3!C10</f>
        <v/>
      </c>
      <c r="C26" t="inlineStr">
        <is>
          <t>T01</t>
        </is>
      </c>
      <c r="D26">
        <f>Resurse!B38</f>
        <v/>
      </c>
      <c r="E26">
        <f>Resurse!C38</f>
        <v/>
      </c>
      <c r="F26" s="17" t="n">
        <v>0.5</v>
      </c>
      <c r="G26" s="6">
        <f>F3!E10</f>
        <v/>
      </c>
      <c r="H26" s="6">
        <f>F26*G26</f>
        <v/>
      </c>
      <c r="I26" s="7">
        <f>Resurse!E38</f>
        <v/>
      </c>
      <c r="J26" s="7">
        <f>F26*I26</f>
        <v/>
      </c>
      <c r="K26">
        <f>Resurse!D38</f>
        <v/>
      </c>
    </row>
    <row r="27">
      <c r="A27">
        <f>F3!A11</f>
        <v/>
      </c>
      <c r="B27">
        <f>F3!C11</f>
        <v/>
      </c>
      <c r="C27" t="inlineStr">
        <is>
          <t>M34</t>
        </is>
      </c>
      <c r="D27">
        <f>Resurse!B15</f>
        <v/>
      </c>
      <c r="E27">
        <f>Resurse!C15</f>
        <v/>
      </c>
      <c r="F27" s="17" t="n">
        <v>0.38</v>
      </c>
      <c r="G27" s="6">
        <f>F3!E11</f>
        <v/>
      </c>
      <c r="H27" s="6">
        <f>F27*G27</f>
        <v/>
      </c>
      <c r="I27" s="7">
        <f>Resurse!E15</f>
        <v/>
      </c>
      <c r="J27" s="7">
        <f>F27*I27</f>
        <v/>
      </c>
      <c r="K27">
        <f>Resurse!D15</f>
        <v/>
      </c>
    </row>
    <row r="28">
      <c r="A28">
        <f>F3!A11</f>
        <v/>
      </c>
      <c r="B28">
        <f>F3!C11</f>
        <v/>
      </c>
      <c r="C28" t="inlineStr">
        <is>
          <t>M35</t>
        </is>
      </c>
      <c r="D28">
        <f>Resurse!B16</f>
        <v/>
      </c>
      <c r="E28">
        <f>Resurse!C16</f>
        <v/>
      </c>
      <c r="F28" s="17" t="n">
        <v>1.6</v>
      </c>
      <c r="G28" s="6">
        <f>F3!E11</f>
        <v/>
      </c>
      <c r="H28" s="6">
        <f>F28*G28</f>
        <v/>
      </c>
      <c r="I28" s="7">
        <f>Resurse!E16</f>
        <v/>
      </c>
      <c r="J28" s="7">
        <f>F28*I28</f>
        <v/>
      </c>
      <c r="K28">
        <f>Resurse!D16</f>
        <v/>
      </c>
    </row>
    <row r="29">
      <c r="A29">
        <f>F3!A11</f>
        <v/>
      </c>
      <c r="B29">
        <f>F3!C11</f>
        <v/>
      </c>
      <c r="C29" t="inlineStr">
        <is>
          <t>M36</t>
        </is>
      </c>
      <c r="D29">
        <f>Resurse!B17</f>
        <v/>
      </c>
      <c r="E29">
        <f>Resurse!C17</f>
        <v/>
      </c>
      <c r="F29" s="17" t="n">
        <v>0.06</v>
      </c>
      <c r="G29" s="6">
        <f>F3!E11</f>
        <v/>
      </c>
      <c r="H29" s="6">
        <f>F29*G29</f>
        <v/>
      </c>
      <c r="I29" s="7">
        <f>Resurse!E17</f>
        <v/>
      </c>
      <c r="J29" s="7">
        <f>F29*I29</f>
        <v/>
      </c>
      <c r="K29">
        <f>Resurse!D17</f>
        <v/>
      </c>
    </row>
    <row r="30">
      <c r="A30">
        <f>F3!A11</f>
        <v/>
      </c>
      <c r="B30">
        <f>F3!C11</f>
        <v/>
      </c>
      <c r="C30" t="inlineStr">
        <is>
          <t>M37</t>
        </is>
      </c>
      <c r="D30">
        <f>Resurse!B18</f>
        <v/>
      </c>
      <c r="E30">
        <f>Resurse!C18</f>
        <v/>
      </c>
      <c r="F30" s="17" t="n">
        <v>0.15</v>
      </c>
      <c r="G30" s="6">
        <f>F3!E11</f>
        <v/>
      </c>
      <c r="H30" s="6">
        <f>F30*G30</f>
        <v/>
      </c>
      <c r="I30" s="7">
        <f>Resurse!E18</f>
        <v/>
      </c>
      <c r="J30" s="7">
        <f>F30*I30</f>
        <v/>
      </c>
      <c r="K30">
        <f>Resurse!D18</f>
        <v/>
      </c>
    </row>
    <row r="31">
      <c r="A31">
        <f>F3!A11</f>
        <v/>
      </c>
      <c r="B31">
        <f>F3!C11</f>
        <v/>
      </c>
      <c r="C31" t="inlineStr">
        <is>
          <t>O02</t>
        </is>
      </c>
      <c r="D31">
        <f>Resurse!B28</f>
        <v/>
      </c>
      <c r="E31">
        <f>Resurse!C28</f>
        <v/>
      </c>
      <c r="F31" s="17" t="n">
        <v>1.1</v>
      </c>
      <c r="G31" s="6">
        <f>F3!E11</f>
        <v/>
      </c>
      <c r="H31" s="6">
        <f>F31*G31</f>
        <v/>
      </c>
      <c r="I31" s="7">
        <f>Resurse!E28</f>
        <v/>
      </c>
      <c r="J31" s="7">
        <f>F31*I31</f>
        <v/>
      </c>
      <c r="K31">
        <f>Resurse!D28</f>
        <v/>
      </c>
    </row>
    <row r="32">
      <c r="A32">
        <f>F3!A11</f>
        <v/>
      </c>
      <c r="B32">
        <f>F3!C11</f>
        <v/>
      </c>
      <c r="C32" t="inlineStr">
        <is>
          <t>O03</t>
        </is>
      </c>
      <c r="D32">
        <f>Resurse!B29</f>
        <v/>
      </c>
      <c r="E32">
        <f>Resurse!C29</f>
        <v/>
      </c>
      <c r="F32" s="17" t="n">
        <v>0.2</v>
      </c>
      <c r="G32" s="6">
        <f>F3!E11</f>
        <v/>
      </c>
      <c r="H32" s="6">
        <f>F32*G32</f>
        <v/>
      </c>
      <c r="I32" s="7">
        <f>Resurse!E29</f>
        <v/>
      </c>
      <c r="J32" s="7">
        <f>F32*I32</f>
        <v/>
      </c>
      <c r="K32">
        <f>Resurse!D29</f>
        <v/>
      </c>
    </row>
    <row r="33">
      <c r="A33">
        <f>F3!A11</f>
        <v/>
      </c>
      <c r="B33">
        <f>F3!C11</f>
        <v/>
      </c>
      <c r="C33" t="inlineStr">
        <is>
          <t>U07</t>
        </is>
      </c>
      <c r="D33">
        <f>Resurse!B37</f>
        <v/>
      </c>
      <c r="E33">
        <f>Resurse!C37</f>
        <v/>
      </c>
      <c r="F33" s="17" t="n">
        <v>0.3</v>
      </c>
      <c r="G33" s="6">
        <f>F3!E11</f>
        <v/>
      </c>
      <c r="H33" s="6">
        <f>F33*G33</f>
        <v/>
      </c>
      <c r="I33" s="7">
        <f>Resurse!E37</f>
        <v/>
      </c>
      <c r="J33" s="7">
        <f>F33*I33</f>
        <v/>
      </c>
      <c r="K33">
        <f>Resurse!D37</f>
        <v/>
      </c>
    </row>
    <row r="34">
      <c r="A34">
        <f>F3!A12</f>
        <v/>
      </c>
      <c r="B34">
        <f>F3!C12</f>
        <v/>
      </c>
      <c r="C34" t="inlineStr">
        <is>
          <t>M38</t>
        </is>
      </c>
      <c r="D34">
        <f>Resurse!B19</f>
        <v/>
      </c>
      <c r="E34">
        <f>Resurse!C19</f>
        <v/>
      </c>
      <c r="F34" s="17" t="n">
        <v>1</v>
      </c>
      <c r="G34" s="6">
        <f>F3!E12</f>
        <v/>
      </c>
      <c r="H34" s="6">
        <f>F34*G34</f>
        <v/>
      </c>
      <c r="I34" s="7">
        <f>Resurse!E19</f>
        <v/>
      </c>
      <c r="J34" s="7">
        <f>F34*I34</f>
        <v/>
      </c>
      <c r="K34">
        <f>Resurse!D19</f>
        <v/>
      </c>
    </row>
    <row r="35">
      <c r="A35">
        <f>F3!A12</f>
        <v/>
      </c>
      <c r="B35">
        <f>F3!C12</f>
        <v/>
      </c>
      <c r="C35" t="inlineStr">
        <is>
          <t>M39</t>
        </is>
      </c>
      <c r="D35">
        <f>Resurse!B20</f>
        <v/>
      </c>
      <c r="E35">
        <f>Resurse!C20</f>
        <v/>
      </c>
      <c r="F35" s="17" t="n">
        <v>2</v>
      </c>
      <c r="G35" s="6">
        <f>F3!E12</f>
        <v/>
      </c>
      <c r="H35" s="6">
        <f>F35*G35</f>
        <v/>
      </c>
      <c r="I35" s="7">
        <f>Resurse!E20</f>
        <v/>
      </c>
      <c r="J35" s="7">
        <f>F35*I35</f>
        <v/>
      </c>
      <c r="K35">
        <f>Resurse!D20</f>
        <v/>
      </c>
    </row>
    <row r="36">
      <c r="A36">
        <f>F3!A12</f>
        <v/>
      </c>
      <c r="B36">
        <f>F3!C12</f>
        <v/>
      </c>
      <c r="C36" t="inlineStr">
        <is>
          <t>O02</t>
        </is>
      </c>
      <c r="D36">
        <f>Resurse!B28</f>
        <v/>
      </c>
      <c r="E36">
        <f>Resurse!C28</f>
        <v/>
      </c>
      <c r="F36" s="17" t="n">
        <v>0.45</v>
      </c>
      <c r="G36" s="6">
        <f>F3!E12</f>
        <v/>
      </c>
      <c r="H36" s="6">
        <f>F36*G36</f>
        <v/>
      </c>
      <c r="I36" s="7">
        <f>Resurse!E28</f>
        <v/>
      </c>
      <c r="J36" s="7">
        <f>F36*I36</f>
        <v/>
      </c>
      <c r="K36">
        <f>Resurse!D28</f>
        <v/>
      </c>
    </row>
    <row r="37">
      <c r="A37">
        <f>F3!A12</f>
        <v/>
      </c>
      <c r="B37">
        <f>F3!C12</f>
        <v/>
      </c>
      <c r="C37" t="inlineStr">
        <is>
          <t>U02</t>
        </is>
      </c>
      <c r="D37">
        <f>Resurse!B33</f>
        <v/>
      </c>
      <c r="E37">
        <f>Resurse!C33</f>
        <v/>
      </c>
      <c r="F37" s="17" t="n">
        <v>0.1</v>
      </c>
      <c r="G37" s="6">
        <f>F3!E12</f>
        <v/>
      </c>
      <c r="H37" s="6">
        <f>F37*G37</f>
        <v/>
      </c>
      <c r="I37" s="7">
        <f>Resurse!E33</f>
        <v/>
      </c>
      <c r="J37" s="7">
        <f>F37*I37</f>
        <v/>
      </c>
      <c r="K37">
        <f>Resurse!D33</f>
        <v/>
      </c>
    </row>
    <row r="38">
      <c r="A38">
        <f>F3!A13</f>
        <v/>
      </c>
      <c r="B38">
        <f>F3!C13</f>
        <v/>
      </c>
      <c r="C38" t="inlineStr">
        <is>
          <t>M40</t>
        </is>
      </c>
      <c r="D38">
        <f>Resurse!B21</f>
        <v/>
      </c>
      <c r="E38">
        <f>Resurse!C21</f>
        <v/>
      </c>
      <c r="F38" s="17" t="n">
        <v>1.1</v>
      </c>
      <c r="G38" s="6">
        <f>F3!E13</f>
        <v/>
      </c>
      <c r="H38" s="6">
        <f>F38*G38</f>
        <v/>
      </c>
      <c r="I38" s="7">
        <f>Resurse!E21</f>
        <v/>
      </c>
      <c r="J38" s="7">
        <f>F38*I38</f>
        <v/>
      </c>
      <c r="K38">
        <f>Resurse!D21</f>
        <v/>
      </c>
    </row>
    <row r="39">
      <c r="A39">
        <f>F3!A13</f>
        <v/>
      </c>
      <c r="B39">
        <f>F3!C13</f>
        <v/>
      </c>
      <c r="C39" t="inlineStr">
        <is>
          <t>M41</t>
        </is>
      </c>
      <c r="D39">
        <f>Resurse!B22</f>
        <v/>
      </c>
      <c r="E39">
        <f>Resurse!C22</f>
        <v/>
      </c>
      <c r="F39" s="17" t="n">
        <v>2</v>
      </c>
      <c r="G39" s="6">
        <f>F3!E13</f>
        <v/>
      </c>
      <c r="H39" s="6">
        <f>F39*G39</f>
        <v/>
      </c>
      <c r="I39" s="7">
        <f>Resurse!E22</f>
        <v/>
      </c>
      <c r="J39" s="7">
        <f>F39*I39</f>
        <v/>
      </c>
      <c r="K39">
        <f>Resurse!D22</f>
        <v/>
      </c>
    </row>
    <row r="40">
      <c r="A40">
        <f>F3!A13</f>
        <v/>
      </c>
      <c r="B40">
        <f>F3!C13</f>
        <v/>
      </c>
      <c r="C40" t="inlineStr">
        <is>
          <t>O02</t>
        </is>
      </c>
      <c r="D40">
        <f>Resurse!B28</f>
        <v/>
      </c>
      <c r="E40">
        <f>Resurse!C28</f>
        <v/>
      </c>
      <c r="F40" s="17" t="n">
        <v>0.15</v>
      </c>
      <c r="G40" s="6">
        <f>F3!E13</f>
        <v/>
      </c>
      <c r="H40" s="6">
        <f>F40*G40</f>
        <v/>
      </c>
      <c r="I40" s="7">
        <f>Resurse!E28</f>
        <v/>
      </c>
      <c r="J40" s="7">
        <f>F40*I40</f>
        <v/>
      </c>
      <c r="K40">
        <f>Resurse!D28</f>
        <v/>
      </c>
    </row>
    <row r="41">
      <c r="A41">
        <f>F3!A14</f>
        <v/>
      </c>
      <c r="B41">
        <f>F3!C14</f>
        <v/>
      </c>
      <c r="C41" t="inlineStr">
        <is>
          <t>M42</t>
        </is>
      </c>
      <c r="D41">
        <f>Resurse!B23</f>
        <v/>
      </c>
      <c r="E41">
        <f>Resurse!C23</f>
        <v/>
      </c>
      <c r="F41" s="17" t="n">
        <v>1.1</v>
      </c>
      <c r="G41" s="6">
        <f>F3!E14</f>
        <v/>
      </c>
      <c r="H41" s="6">
        <f>F41*G41</f>
        <v/>
      </c>
      <c r="I41" s="7">
        <f>Resurse!E23</f>
        <v/>
      </c>
      <c r="J41" s="7">
        <f>F41*I41</f>
        <v/>
      </c>
      <c r="K41">
        <f>Resurse!D23</f>
        <v/>
      </c>
    </row>
    <row r="42">
      <c r="A42">
        <f>F3!A14</f>
        <v/>
      </c>
      <c r="B42">
        <f>F3!C14</f>
        <v/>
      </c>
      <c r="C42" t="inlineStr">
        <is>
          <t>M43</t>
        </is>
      </c>
      <c r="D42">
        <f>Resurse!B24</f>
        <v/>
      </c>
      <c r="E42">
        <f>Resurse!C24</f>
        <v/>
      </c>
      <c r="F42" s="17" t="n">
        <v>6</v>
      </c>
      <c r="G42" s="6">
        <f>F3!E14</f>
        <v/>
      </c>
      <c r="H42" s="6">
        <f>F42*G42</f>
        <v/>
      </c>
      <c r="I42" s="7">
        <f>Resurse!E24</f>
        <v/>
      </c>
      <c r="J42" s="7">
        <f>F42*I42</f>
        <v/>
      </c>
      <c r="K42">
        <f>Resurse!D24</f>
        <v/>
      </c>
    </row>
    <row r="43">
      <c r="A43">
        <f>F3!A14</f>
        <v/>
      </c>
      <c r="B43">
        <f>F3!C14</f>
        <v/>
      </c>
      <c r="C43" t="inlineStr">
        <is>
          <t>M44</t>
        </is>
      </c>
      <c r="D43">
        <f>Resurse!B25</f>
        <v/>
      </c>
      <c r="E43">
        <f>Resurse!C25</f>
        <v/>
      </c>
      <c r="F43" s="17" t="n">
        <v>0.25</v>
      </c>
      <c r="G43" s="6">
        <f>F3!E14</f>
        <v/>
      </c>
      <c r="H43" s="6">
        <f>F43*G43</f>
        <v/>
      </c>
      <c r="I43" s="7">
        <f>Resurse!E25</f>
        <v/>
      </c>
      <c r="J43" s="7">
        <f>F43*I43</f>
        <v/>
      </c>
      <c r="K43">
        <f>Resurse!D25</f>
        <v/>
      </c>
    </row>
    <row r="44">
      <c r="A44">
        <f>F3!A14</f>
        <v/>
      </c>
      <c r="B44">
        <f>F3!C14</f>
        <v/>
      </c>
      <c r="C44" t="inlineStr">
        <is>
          <t>M45</t>
        </is>
      </c>
      <c r="D44">
        <f>Resurse!B26</f>
        <v/>
      </c>
      <c r="E44">
        <f>Resurse!C26</f>
        <v/>
      </c>
      <c r="F44" s="17" t="n">
        <v>0.2</v>
      </c>
      <c r="G44" s="6">
        <f>F3!E14</f>
        <v/>
      </c>
      <c r="H44" s="6">
        <f>F44*G44</f>
        <v/>
      </c>
      <c r="I44" s="7">
        <f>Resurse!E26</f>
        <v/>
      </c>
      <c r="J44" s="7">
        <f>F44*I44</f>
        <v/>
      </c>
      <c r="K44">
        <f>Resurse!D26</f>
        <v/>
      </c>
    </row>
    <row r="45">
      <c r="A45">
        <f>F3!A14</f>
        <v/>
      </c>
      <c r="B45">
        <f>F3!C14</f>
        <v/>
      </c>
      <c r="C45" t="inlineStr">
        <is>
          <t>O06</t>
        </is>
      </c>
      <c r="D45">
        <f>Resurse!B30</f>
        <v/>
      </c>
      <c r="E45">
        <f>Resurse!C30</f>
        <v/>
      </c>
      <c r="F45" s="17" t="n">
        <v>1</v>
      </c>
      <c r="G45" s="6">
        <f>F3!E14</f>
        <v/>
      </c>
      <c r="H45" s="6">
        <f>F45*G45</f>
        <v/>
      </c>
      <c r="I45" s="7">
        <f>Resurse!E30</f>
        <v/>
      </c>
      <c r="J45" s="7">
        <f>F45*I45</f>
        <v/>
      </c>
      <c r="K45">
        <f>Resurse!D30</f>
        <v/>
      </c>
    </row>
    <row r="46">
      <c r="A46">
        <f>F3!A14</f>
        <v/>
      </c>
      <c r="B46">
        <f>F3!C14</f>
        <v/>
      </c>
      <c r="C46" t="inlineStr">
        <is>
          <t>O03</t>
        </is>
      </c>
      <c r="D46">
        <f>Resurse!B29</f>
        <v/>
      </c>
      <c r="E46">
        <f>Resurse!C29</f>
        <v/>
      </c>
      <c r="F46" s="17" t="n">
        <v>0.25</v>
      </c>
      <c r="G46" s="6">
        <f>F3!E14</f>
        <v/>
      </c>
      <c r="H46" s="6">
        <f>F46*G46</f>
        <v/>
      </c>
      <c r="I46" s="7">
        <f>Resurse!E29</f>
        <v/>
      </c>
      <c r="J46" s="7">
        <f>F46*I46</f>
        <v/>
      </c>
      <c r="K46">
        <f>Resurse!D29</f>
        <v/>
      </c>
    </row>
    <row r="47">
      <c r="A47">
        <f>F3!A14</f>
        <v/>
      </c>
      <c r="B47">
        <f>F3!C14</f>
        <v/>
      </c>
      <c r="C47" t="inlineStr">
        <is>
          <t>U05</t>
        </is>
      </c>
      <c r="D47">
        <f>Resurse!B35</f>
        <v/>
      </c>
      <c r="E47">
        <f>Resurse!C35</f>
        <v/>
      </c>
      <c r="F47" s="17" t="n">
        <v>0.3</v>
      </c>
      <c r="G47" s="6">
        <f>F3!E14</f>
        <v/>
      </c>
      <c r="H47" s="6">
        <f>F47*G47</f>
        <v/>
      </c>
      <c r="I47" s="7">
        <f>Resurse!E35</f>
        <v/>
      </c>
      <c r="J47" s="7">
        <f>F47*I47</f>
        <v/>
      </c>
      <c r="K47">
        <f>Resurse!D35</f>
        <v/>
      </c>
    </row>
    <row r="48">
      <c r="A48">
        <f>F3!A14</f>
        <v/>
      </c>
      <c r="B48">
        <f>F3!C14</f>
        <v/>
      </c>
      <c r="C48" t="inlineStr">
        <is>
          <t>U02</t>
        </is>
      </c>
      <c r="D48">
        <f>Resurse!B33</f>
        <v/>
      </c>
      <c r="E48">
        <f>Resurse!C33</f>
        <v/>
      </c>
      <c r="F48" s="17" t="n">
        <v>0.1</v>
      </c>
      <c r="G48" s="6">
        <f>F3!E14</f>
        <v/>
      </c>
      <c r="H48" s="6">
        <f>F48*G48</f>
        <v/>
      </c>
      <c r="I48" s="7">
        <f>Resurse!E33</f>
        <v/>
      </c>
      <c r="J48" s="7">
        <f>F48*I48</f>
        <v/>
      </c>
      <c r="K48">
        <f>Resurse!D33</f>
        <v/>
      </c>
    </row>
    <row r="49">
      <c r="A49">
        <f>F3!A15</f>
        <v/>
      </c>
      <c r="B49">
        <f>F3!C15</f>
        <v/>
      </c>
      <c r="C49" t="inlineStr">
        <is>
          <t>U04</t>
        </is>
      </c>
      <c r="D49">
        <f>Resurse!B34</f>
        <v/>
      </c>
      <c r="E49">
        <f>Resurse!C34</f>
        <v/>
      </c>
      <c r="F49" s="17" t="n">
        <v>0.25</v>
      </c>
      <c r="G49" s="6">
        <f>F3!E15</f>
        <v/>
      </c>
      <c r="H49" s="6">
        <f>F49*G49</f>
        <v/>
      </c>
      <c r="I49" s="7">
        <f>Resurse!E34</f>
        <v/>
      </c>
      <c r="J49" s="7">
        <f>F49*I49</f>
        <v/>
      </c>
      <c r="K49">
        <f>Resurse!D34</f>
        <v/>
      </c>
    </row>
    <row r="50">
      <c r="A50">
        <f>F3!A15</f>
        <v/>
      </c>
      <c r="B50">
        <f>F3!C15</f>
        <v/>
      </c>
      <c r="C50" t="inlineStr">
        <is>
          <t>O03</t>
        </is>
      </c>
      <c r="D50">
        <f>Resurse!B29</f>
        <v/>
      </c>
      <c r="E50">
        <f>Resurse!C29</f>
        <v/>
      </c>
      <c r="F50" s="17" t="n">
        <v>0.5</v>
      </c>
      <c r="G50" s="6">
        <f>F3!E15</f>
        <v/>
      </c>
      <c r="H50" s="6">
        <f>F50*G50</f>
        <v/>
      </c>
      <c r="I50" s="7">
        <f>Resurse!E29</f>
        <v/>
      </c>
      <c r="J50" s="7">
        <f>F50*I50</f>
        <v/>
      </c>
      <c r="K50">
        <f>Resurse!D29</f>
        <v/>
      </c>
    </row>
    <row r="51">
      <c r="A51">
        <f>F3!A16</f>
        <v/>
      </c>
      <c r="B51">
        <f>F3!C16</f>
        <v/>
      </c>
      <c r="C51" t="inlineStr">
        <is>
          <t>U06</t>
        </is>
      </c>
      <c r="D51">
        <f>Resurse!B36</f>
        <v/>
      </c>
      <c r="E51">
        <f>Resurse!C36</f>
        <v/>
      </c>
      <c r="F51" s="17" t="n">
        <v>1.5</v>
      </c>
      <c r="G51" s="6">
        <f>F3!E16</f>
        <v/>
      </c>
      <c r="H51" s="6">
        <f>F51*G51</f>
        <v/>
      </c>
      <c r="I51" s="7">
        <f>Resurse!E36</f>
        <v/>
      </c>
      <c r="J51" s="7">
        <f>F51*I51</f>
        <v/>
      </c>
      <c r="K51">
        <f>Resurse!D36</f>
        <v/>
      </c>
    </row>
    <row r="52">
      <c r="A52">
        <f>F3!A16</f>
        <v/>
      </c>
      <c r="B52">
        <f>F3!C16</f>
        <v/>
      </c>
      <c r="C52" t="inlineStr">
        <is>
          <t>O08</t>
        </is>
      </c>
      <c r="D52">
        <f>Resurse!B31</f>
        <v/>
      </c>
      <c r="E52">
        <f>Resurse!C31</f>
        <v/>
      </c>
      <c r="F52" s="17" t="n">
        <v>0.4</v>
      </c>
      <c r="G52" s="6">
        <f>F3!E16</f>
        <v/>
      </c>
      <c r="H52" s="6">
        <f>F52*G52</f>
        <v/>
      </c>
      <c r="I52" s="7">
        <f>Resurse!E31</f>
        <v/>
      </c>
      <c r="J52" s="7">
        <f>F52*I52</f>
        <v/>
      </c>
      <c r="K52">
        <f>Resurse!D31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C6 – Lista consumurilor de resurse materiale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Cantitate totală</t>
        </is>
      </c>
      <c r="E6" s="3" t="inlineStr">
        <is>
          <t>Preț unitar (lei)</t>
        </is>
      </c>
      <c r="F6" s="3" t="inlineStr">
        <is>
          <t>Valoare (lei, fără TVA)</t>
        </is>
      </c>
    </row>
    <row r="7">
      <c r="A7" t="n">
        <v>1</v>
      </c>
      <c r="B7">
        <f>Resurse!B7</f>
        <v/>
      </c>
      <c r="C7">
        <f>Resurse!C7</f>
        <v/>
      </c>
      <c r="D7" s="6">
        <f>SUMIFS(Analiza!$H$7:$H$52,Analiza!$C$7:$C$52,Resurse!$A$7)</f>
        <v/>
      </c>
      <c r="E7" s="7">
        <f>Resurse!E7</f>
        <v/>
      </c>
      <c r="F7" s="7">
        <f>ROUND(D7*E7,2)</f>
        <v/>
      </c>
    </row>
    <row r="8">
      <c r="A8" t="n">
        <v>2</v>
      </c>
      <c r="B8">
        <f>Resurse!B8</f>
        <v/>
      </c>
      <c r="C8">
        <f>Resurse!C8</f>
        <v/>
      </c>
      <c r="D8" s="6">
        <f>SUMIFS(Analiza!$H$7:$H$52,Analiza!$C$7:$C$52,Resurse!$A$8)</f>
        <v/>
      </c>
      <c r="E8" s="7">
        <f>Resurse!E8</f>
        <v/>
      </c>
      <c r="F8" s="7">
        <f>ROUND(D8*E8,2)</f>
        <v/>
      </c>
    </row>
    <row r="9">
      <c r="A9" t="n">
        <v>3</v>
      </c>
      <c r="B9">
        <f>Resurse!B9</f>
        <v/>
      </c>
      <c r="C9">
        <f>Resurse!C9</f>
        <v/>
      </c>
      <c r="D9" s="6">
        <f>SUMIFS(Analiza!$H$7:$H$52,Analiza!$C$7:$C$52,Resurse!$A$9)</f>
        <v/>
      </c>
      <c r="E9" s="7">
        <f>Resurse!E9</f>
        <v/>
      </c>
      <c r="F9" s="7">
        <f>ROUND(D9*E9,2)</f>
        <v/>
      </c>
    </row>
    <row r="10">
      <c r="A10" t="n">
        <v>4</v>
      </c>
      <c r="B10">
        <f>Resurse!B10</f>
        <v/>
      </c>
      <c r="C10">
        <f>Resurse!C10</f>
        <v/>
      </c>
      <c r="D10" s="6">
        <f>SUMIFS(Analiza!$H$7:$H$52,Analiza!$C$7:$C$52,Resurse!$A$10)</f>
        <v/>
      </c>
      <c r="E10" s="7">
        <f>Resurse!E10</f>
        <v/>
      </c>
      <c r="F10" s="7">
        <f>ROUND(D10*E10,2)</f>
        <v/>
      </c>
    </row>
    <row r="11">
      <c r="A11" t="n">
        <v>5</v>
      </c>
      <c r="B11">
        <f>Resurse!B11</f>
        <v/>
      </c>
      <c r="C11">
        <f>Resurse!C11</f>
        <v/>
      </c>
      <c r="D11" s="6">
        <f>SUMIFS(Analiza!$H$7:$H$52,Analiza!$C$7:$C$52,Resurse!$A$11)</f>
        <v/>
      </c>
      <c r="E11" s="7">
        <f>Resurse!E11</f>
        <v/>
      </c>
      <c r="F11" s="7">
        <f>ROUND(D11*E11,2)</f>
        <v/>
      </c>
    </row>
    <row r="12">
      <c r="A12" t="n">
        <v>6</v>
      </c>
      <c r="B12">
        <f>Resurse!B12</f>
        <v/>
      </c>
      <c r="C12">
        <f>Resurse!C12</f>
        <v/>
      </c>
      <c r="D12" s="6">
        <f>SUMIFS(Analiza!$H$7:$H$52,Analiza!$C$7:$C$52,Resurse!$A$12)</f>
        <v/>
      </c>
      <c r="E12" s="7">
        <f>Resurse!E12</f>
        <v/>
      </c>
      <c r="F12" s="7">
        <f>ROUND(D12*E12,2)</f>
        <v/>
      </c>
    </row>
    <row r="13">
      <c r="A13" t="n">
        <v>7</v>
      </c>
      <c r="B13">
        <f>Resurse!B13</f>
        <v/>
      </c>
      <c r="C13">
        <f>Resurse!C13</f>
        <v/>
      </c>
      <c r="D13" s="6">
        <f>SUMIFS(Analiza!$H$7:$H$52,Analiza!$C$7:$C$52,Resurse!$A$13)</f>
        <v/>
      </c>
      <c r="E13" s="7">
        <f>Resurse!E13</f>
        <v/>
      </c>
      <c r="F13" s="7">
        <f>ROUND(D13*E13,2)</f>
        <v/>
      </c>
    </row>
    <row r="14">
      <c r="A14" t="n">
        <v>8</v>
      </c>
      <c r="B14">
        <f>Resurse!B14</f>
        <v/>
      </c>
      <c r="C14">
        <f>Resurse!C14</f>
        <v/>
      </c>
      <c r="D14" s="6">
        <f>SUMIFS(Analiza!$H$7:$H$52,Analiza!$C$7:$C$52,Resurse!$A$14)</f>
        <v/>
      </c>
      <c r="E14" s="7">
        <f>Resurse!E14</f>
        <v/>
      </c>
      <c r="F14" s="7">
        <f>ROUND(D14*E14,2)</f>
        <v/>
      </c>
    </row>
    <row r="15">
      <c r="A15" t="n">
        <v>9</v>
      </c>
      <c r="B15">
        <f>Resurse!B15</f>
        <v/>
      </c>
      <c r="C15">
        <f>Resurse!C15</f>
        <v/>
      </c>
      <c r="D15" s="6">
        <f>SUMIFS(Analiza!$H$7:$H$52,Analiza!$C$7:$C$52,Resurse!$A$15)</f>
        <v/>
      </c>
      <c r="E15" s="7">
        <f>Resurse!E15</f>
        <v/>
      </c>
      <c r="F15" s="7">
        <f>ROUND(D15*E15,2)</f>
        <v/>
      </c>
    </row>
    <row r="16">
      <c r="A16" t="n">
        <v>10</v>
      </c>
      <c r="B16">
        <f>Resurse!B16</f>
        <v/>
      </c>
      <c r="C16">
        <f>Resurse!C16</f>
        <v/>
      </c>
      <c r="D16" s="6">
        <f>SUMIFS(Analiza!$H$7:$H$52,Analiza!$C$7:$C$52,Resurse!$A$16)</f>
        <v/>
      </c>
      <c r="E16" s="7">
        <f>Resurse!E16</f>
        <v/>
      </c>
      <c r="F16" s="7">
        <f>ROUND(D16*E16,2)</f>
        <v/>
      </c>
    </row>
    <row r="17">
      <c r="A17" t="n">
        <v>11</v>
      </c>
      <c r="B17">
        <f>Resurse!B17</f>
        <v/>
      </c>
      <c r="C17">
        <f>Resurse!C17</f>
        <v/>
      </c>
      <c r="D17" s="6">
        <f>SUMIFS(Analiza!$H$7:$H$52,Analiza!$C$7:$C$52,Resurse!$A$17)</f>
        <v/>
      </c>
      <c r="E17" s="7">
        <f>Resurse!E17</f>
        <v/>
      </c>
      <c r="F17" s="7">
        <f>ROUND(D17*E17,2)</f>
        <v/>
      </c>
    </row>
    <row r="18">
      <c r="A18" t="n">
        <v>12</v>
      </c>
      <c r="B18">
        <f>Resurse!B18</f>
        <v/>
      </c>
      <c r="C18">
        <f>Resurse!C18</f>
        <v/>
      </c>
      <c r="D18" s="6">
        <f>SUMIFS(Analiza!$H$7:$H$52,Analiza!$C$7:$C$52,Resurse!$A$18)</f>
        <v/>
      </c>
      <c r="E18" s="7">
        <f>Resurse!E18</f>
        <v/>
      </c>
      <c r="F18" s="7">
        <f>ROUND(D18*E18,2)</f>
        <v/>
      </c>
    </row>
    <row r="19">
      <c r="A19" t="n">
        <v>13</v>
      </c>
      <c r="B19">
        <f>Resurse!B19</f>
        <v/>
      </c>
      <c r="C19">
        <f>Resurse!C19</f>
        <v/>
      </c>
      <c r="D19" s="6">
        <f>SUMIFS(Analiza!$H$7:$H$52,Analiza!$C$7:$C$52,Resurse!$A$19)</f>
        <v/>
      </c>
      <c r="E19" s="7">
        <f>Resurse!E19</f>
        <v/>
      </c>
      <c r="F19" s="7">
        <f>ROUND(D19*E19,2)</f>
        <v/>
      </c>
    </row>
    <row r="20">
      <c r="A20" t="n">
        <v>14</v>
      </c>
      <c r="B20">
        <f>Resurse!B20</f>
        <v/>
      </c>
      <c r="C20">
        <f>Resurse!C20</f>
        <v/>
      </c>
      <c r="D20" s="6">
        <f>SUMIFS(Analiza!$H$7:$H$52,Analiza!$C$7:$C$52,Resurse!$A$20)</f>
        <v/>
      </c>
      <c r="E20" s="7">
        <f>Resurse!E20</f>
        <v/>
      </c>
      <c r="F20" s="7">
        <f>ROUND(D20*E20,2)</f>
        <v/>
      </c>
    </row>
    <row r="21">
      <c r="A21" t="n">
        <v>15</v>
      </c>
      <c r="B21">
        <f>Resurse!B21</f>
        <v/>
      </c>
      <c r="C21">
        <f>Resurse!C21</f>
        <v/>
      </c>
      <c r="D21" s="6">
        <f>SUMIFS(Analiza!$H$7:$H$52,Analiza!$C$7:$C$52,Resurse!$A$21)</f>
        <v/>
      </c>
      <c r="E21" s="7">
        <f>Resurse!E21</f>
        <v/>
      </c>
      <c r="F21" s="7">
        <f>ROUND(D21*E21,2)</f>
        <v/>
      </c>
    </row>
    <row r="22">
      <c r="A22" t="n">
        <v>16</v>
      </c>
      <c r="B22">
        <f>Resurse!B22</f>
        <v/>
      </c>
      <c r="C22">
        <f>Resurse!C22</f>
        <v/>
      </c>
      <c r="D22" s="6">
        <f>SUMIFS(Analiza!$H$7:$H$52,Analiza!$C$7:$C$52,Resurse!$A$22)</f>
        <v/>
      </c>
      <c r="E22" s="7">
        <f>Resurse!E22</f>
        <v/>
      </c>
      <c r="F22" s="7">
        <f>ROUND(D22*E22,2)</f>
        <v/>
      </c>
    </row>
    <row r="23">
      <c r="A23" t="n">
        <v>17</v>
      </c>
      <c r="B23">
        <f>Resurse!B23</f>
        <v/>
      </c>
      <c r="C23">
        <f>Resurse!C23</f>
        <v/>
      </c>
      <c r="D23" s="6">
        <f>SUMIFS(Analiza!$H$7:$H$52,Analiza!$C$7:$C$52,Resurse!$A$23)</f>
        <v/>
      </c>
      <c r="E23" s="7">
        <f>Resurse!E23</f>
        <v/>
      </c>
      <c r="F23" s="7">
        <f>ROUND(D23*E23,2)</f>
        <v/>
      </c>
    </row>
    <row r="24">
      <c r="A24" t="n">
        <v>18</v>
      </c>
      <c r="B24">
        <f>Resurse!B24</f>
        <v/>
      </c>
      <c r="C24">
        <f>Resurse!C24</f>
        <v/>
      </c>
      <c r="D24" s="6">
        <f>SUMIFS(Analiza!$H$7:$H$52,Analiza!$C$7:$C$52,Resurse!$A$24)</f>
        <v/>
      </c>
      <c r="E24" s="7">
        <f>Resurse!E24</f>
        <v/>
      </c>
      <c r="F24" s="7">
        <f>ROUND(D24*E24,2)</f>
        <v/>
      </c>
    </row>
    <row r="25">
      <c r="A25" t="n">
        <v>19</v>
      </c>
      <c r="B25">
        <f>Resurse!B25</f>
        <v/>
      </c>
      <c r="C25">
        <f>Resurse!C25</f>
        <v/>
      </c>
      <c r="D25" s="6">
        <f>SUMIFS(Analiza!$H$7:$H$52,Analiza!$C$7:$C$52,Resurse!$A$25)</f>
        <v/>
      </c>
      <c r="E25" s="7">
        <f>Resurse!E25</f>
        <v/>
      </c>
      <c r="F25" s="7">
        <f>ROUND(D25*E25,2)</f>
        <v/>
      </c>
    </row>
    <row r="26">
      <c r="A26" t="n">
        <v>20</v>
      </c>
      <c r="B26">
        <f>Resurse!B26</f>
        <v/>
      </c>
      <c r="C26">
        <f>Resurse!C26</f>
        <v/>
      </c>
      <c r="D26" s="6">
        <f>SUMIFS(Analiza!$H$7:$H$52,Analiza!$C$7:$C$52,Resurse!$A$26)</f>
        <v/>
      </c>
      <c r="E26" s="7">
        <f>Resurse!E26</f>
        <v/>
      </c>
      <c r="F26" s="7">
        <f>ROUND(D26*E26,2)</f>
        <v/>
      </c>
    </row>
    <row r="27">
      <c r="B27" s="4" t="inlineStr">
        <is>
          <t>TOTAL</t>
        </is>
      </c>
      <c r="F27" s="7">
        <f>SUM(F7:F26)</f>
        <v/>
      </c>
    </row>
    <row r="28">
      <c r="B28" t="inlineStr">
        <is>
          <t>Verificare: diferență față de F3 (rotunjiri, trebuie ≈ 0)</t>
        </is>
      </c>
      <c r="F28" s="7">
        <f>ROUND(F27-F3!J19,0)</f>
        <v/>
      </c>
    </row>
    <row r="30">
      <c r="B30" t="inlineStr">
        <is>
          <t>OFERTANT,</t>
        </is>
      </c>
    </row>
    <row r="31">
      <c r="B31" t="inlineStr">
        <is>
          <t>BILZI STEEL PROFILE S.R.L.</t>
        </is>
      </c>
    </row>
    <row r="32">
      <c r="B32" t="inlineStr">
        <is>
          <t>Șerban Marius – administrator</t>
        </is>
      </c>
    </row>
    <row r="33">
      <c r="B33" t="inlineStr">
        <is>
          <t>Semnătura și ștampila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C7 – Lista consumurilor cu mâna de lucru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Total ore-om</t>
        </is>
      </c>
      <c r="E6" s="3" t="inlineStr">
        <is>
          <t>Tarif orar (lei)</t>
        </is>
      </c>
      <c r="F6" s="3" t="inlineStr">
        <is>
          <t>Valoare (lei, fără TVA)</t>
        </is>
      </c>
    </row>
    <row r="7">
      <c r="A7" t="n">
        <v>1</v>
      </c>
      <c r="B7">
        <f>Resurse!B27</f>
        <v/>
      </c>
      <c r="C7">
        <f>Resurse!C27</f>
        <v/>
      </c>
      <c r="D7" s="6">
        <f>SUMIFS(Analiza!$H$7:$H$52,Analiza!$C$7:$C$52,Resurse!$A$27)</f>
        <v/>
      </c>
      <c r="E7" s="7">
        <f>Resurse!E27</f>
        <v/>
      </c>
      <c r="F7" s="7">
        <f>ROUND(D7*E7,2)</f>
        <v/>
      </c>
    </row>
    <row r="8">
      <c r="A8" t="n">
        <v>2</v>
      </c>
      <c r="B8">
        <f>Resurse!B28</f>
        <v/>
      </c>
      <c r="C8">
        <f>Resurse!C28</f>
        <v/>
      </c>
      <c r="D8" s="6">
        <f>SUMIFS(Analiza!$H$7:$H$52,Analiza!$C$7:$C$52,Resurse!$A$28)</f>
        <v/>
      </c>
      <c r="E8" s="7">
        <f>Resurse!E28</f>
        <v/>
      </c>
      <c r="F8" s="7">
        <f>ROUND(D8*E8,2)</f>
        <v/>
      </c>
    </row>
    <row r="9">
      <c r="A9" t="n">
        <v>3</v>
      </c>
      <c r="B9">
        <f>Resurse!B29</f>
        <v/>
      </c>
      <c r="C9">
        <f>Resurse!C29</f>
        <v/>
      </c>
      <c r="D9" s="6">
        <f>SUMIFS(Analiza!$H$7:$H$52,Analiza!$C$7:$C$52,Resurse!$A$29)</f>
        <v/>
      </c>
      <c r="E9" s="7">
        <f>Resurse!E29</f>
        <v/>
      </c>
      <c r="F9" s="7">
        <f>ROUND(D9*E9,2)</f>
        <v/>
      </c>
    </row>
    <row r="10">
      <c r="A10" t="n">
        <v>4</v>
      </c>
      <c r="B10">
        <f>Resurse!B30</f>
        <v/>
      </c>
      <c r="C10">
        <f>Resurse!C30</f>
        <v/>
      </c>
      <c r="D10" s="6">
        <f>SUMIFS(Analiza!$H$7:$H$52,Analiza!$C$7:$C$52,Resurse!$A$30)</f>
        <v/>
      </c>
      <c r="E10" s="7">
        <f>Resurse!E30</f>
        <v/>
      </c>
      <c r="F10" s="7">
        <f>ROUND(D10*E10,2)</f>
        <v/>
      </c>
    </row>
    <row r="11">
      <c r="A11" t="n">
        <v>5</v>
      </c>
      <c r="B11">
        <f>Resurse!B31</f>
        <v/>
      </c>
      <c r="C11">
        <f>Resurse!C31</f>
        <v/>
      </c>
      <c r="D11" s="6">
        <f>SUMIFS(Analiza!$H$7:$H$52,Analiza!$C$7:$C$52,Resurse!$A$31)</f>
        <v/>
      </c>
      <c r="E11" s="7">
        <f>Resurse!E31</f>
        <v/>
      </c>
      <c r="F11" s="7">
        <f>ROUND(D11*E11,2)</f>
        <v/>
      </c>
    </row>
    <row r="12">
      <c r="B12" s="4" t="inlineStr">
        <is>
          <t>TOTAL</t>
        </is>
      </c>
      <c r="F12" s="7">
        <f>SUM(F7:F11)</f>
        <v/>
      </c>
    </row>
    <row r="13">
      <c r="B13" t="inlineStr">
        <is>
          <t>Verificare: diferență față de F3 (rotunjiri, trebuie ≈ 0)</t>
        </is>
      </c>
      <c r="F13" s="7">
        <f>ROUND(F12-F3!K19,0)</f>
        <v/>
      </c>
    </row>
    <row r="15">
      <c r="B15" t="inlineStr">
        <is>
          <t>OFERTANT,</t>
        </is>
      </c>
    </row>
    <row r="16">
      <c r="B16" t="inlineStr">
        <is>
          <t>BILZI STEEL PROFILE S.R.L.</t>
        </is>
      </c>
    </row>
    <row r="17">
      <c r="B17" t="inlineStr">
        <is>
          <t>Șerban Marius – administrator</t>
        </is>
      </c>
    </row>
    <row r="18">
      <c r="B18" t="inlineStr">
        <is>
          <t>Semnătura și ștampila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C8 – Lista consumurilor de ore de funcționare a utilajelor de construcții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Total ore</t>
        </is>
      </c>
      <c r="E6" s="3" t="inlineStr">
        <is>
          <t>Tarif orar (lei)</t>
        </is>
      </c>
      <c r="F6" s="3" t="inlineStr">
        <is>
          <t>Valoare (lei, fără TVA)</t>
        </is>
      </c>
    </row>
    <row r="7">
      <c r="A7" t="n">
        <v>1</v>
      </c>
      <c r="B7">
        <f>Resurse!B32</f>
        <v/>
      </c>
      <c r="C7">
        <f>Resurse!C32</f>
        <v/>
      </c>
      <c r="D7" s="6">
        <f>SUMIFS(Analiza!$H$7:$H$52,Analiza!$C$7:$C$52,Resurse!$A$32)</f>
        <v/>
      </c>
      <c r="E7" s="7">
        <f>Resurse!E32</f>
        <v/>
      </c>
      <c r="F7" s="7">
        <f>ROUND(D7*E7,2)</f>
        <v/>
      </c>
    </row>
    <row r="8">
      <c r="A8" t="n">
        <v>2</v>
      </c>
      <c r="B8">
        <f>Resurse!B33</f>
        <v/>
      </c>
      <c r="C8">
        <f>Resurse!C33</f>
        <v/>
      </c>
      <c r="D8" s="6">
        <f>SUMIFS(Analiza!$H$7:$H$52,Analiza!$C$7:$C$52,Resurse!$A$33)</f>
        <v/>
      </c>
      <c r="E8" s="7">
        <f>Resurse!E33</f>
        <v/>
      </c>
      <c r="F8" s="7">
        <f>ROUND(D8*E8,2)</f>
        <v/>
      </c>
    </row>
    <row r="9">
      <c r="A9" t="n">
        <v>3</v>
      </c>
      <c r="B9">
        <f>Resurse!B34</f>
        <v/>
      </c>
      <c r="C9">
        <f>Resurse!C34</f>
        <v/>
      </c>
      <c r="D9" s="6">
        <f>SUMIFS(Analiza!$H$7:$H$52,Analiza!$C$7:$C$52,Resurse!$A$34)</f>
        <v/>
      </c>
      <c r="E9" s="7">
        <f>Resurse!E34</f>
        <v/>
      </c>
      <c r="F9" s="7">
        <f>ROUND(D9*E9,2)</f>
        <v/>
      </c>
    </row>
    <row r="10">
      <c r="A10" t="n">
        <v>4</v>
      </c>
      <c r="B10">
        <f>Resurse!B35</f>
        <v/>
      </c>
      <c r="C10">
        <f>Resurse!C35</f>
        <v/>
      </c>
      <c r="D10" s="6">
        <f>SUMIFS(Analiza!$H$7:$H$52,Analiza!$C$7:$C$52,Resurse!$A$35)</f>
        <v/>
      </c>
      <c r="E10" s="7">
        <f>Resurse!E35</f>
        <v/>
      </c>
      <c r="F10" s="7">
        <f>ROUND(D10*E10,2)</f>
        <v/>
      </c>
    </row>
    <row r="11">
      <c r="A11" t="n">
        <v>5</v>
      </c>
      <c r="B11">
        <f>Resurse!B36</f>
        <v/>
      </c>
      <c r="C11">
        <f>Resurse!C36</f>
        <v/>
      </c>
      <c r="D11" s="6">
        <f>SUMIFS(Analiza!$H$7:$H$52,Analiza!$C$7:$C$52,Resurse!$A$36)</f>
        <v/>
      </c>
      <c r="E11" s="7">
        <f>Resurse!E36</f>
        <v/>
      </c>
      <c r="F11" s="7">
        <f>ROUND(D11*E11,2)</f>
        <v/>
      </c>
    </row>
    <row r="12">
      <c r="A12" t="n">
        <v>6</v>
      </c>
      <c r="B12">
        <f>Resurse!B37</f>
        <v/>
      </c>
      <c r="C12">
        <f>Resurse!C37</f>
        <v/>
      </c>
      <c r="D12" s="6">
        <f>SUMIFS(Analiza!$H$7:$H$52,Analiza!$C$7:$C$52,Resurse!$A$37)</f>
        <v/>
      </c>
      <c r="E12" s="7">
        <f>Resurse!E37</f>
        <v/>
      </c>
      <c r="F12" s="7">
        <f>ROUND(D12*E12,2)</f>
        <v/>
      </c>
    </row>
    <row r="13">
      <c r="B13" s="4" t="inlineStr">
        <is>
          <t>TOTAL</t>
        </is>
      </c>
      <c r="F13" s="7">
        <f>SUM(F7:F12)</f>
        <v/>
      </c>
    </row>
    <row r="14">
      <c r="B14" t="inlineStr">
        <is>
          <t>Verificare: diferență față de F3 (rotunjiri, trebuie ≈ 0)</t>
        </is>
      </c>
      <c r="F14" s="7">
        <f>ROUND(F13-F3!L19,0)</f>
        <v/>
      </c>
    </row>
    <row r="16">
      <c r="B16" t="inlineStr">
        <is>
          <t>OFERTANT,</t>
        </is>
      </c>
    </row>
    <row r="17">
      <c r="B17" t="inlineStr">
        <is>
          <t>BILZI STEEL PROFILE S.R.L.</t>
        </is>
      </c>
    </row>
    <row r="18">
      <c r="B18" t="inlineStr">
        <is>
          <t>Șerban Marius – administrator</t>
        </is>
      </c>
    </row>
    <row r="19">
      <c r="B19" t="inlineStr">
        <is>
          <t>Semnătura și ștampila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C9 – Lista consumurilor privind transporturile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Cantitate</t>
        </is>
      </c>
      <c r="E6" s="3" t="inlineStr">
        <is>
          <t>Tarif (lei)</t>
        </is>
      </c>
      <c r="F6" s="3" t="inlineStr">
        <is>
          <t>Valoare (lei, fără TVA)</t>
        </is>
      </c>
    </row>
    <row r="7">
      <c r="A7" t="n">
        <v>1</v>
      </c>
      <c r="B7">
        <f>Resurse!B38</f>
        <v/>
      </c>
      <c r="C7">
        <f>Resurse!C38</f>
        <v/>
      </c>
      <c r="D7" s="6">
        <f>SUMIFS(Analiza!$H$7:$H$52,Analiza!$C$7:$C$52,Resurse!$A$38)</f>
        <v/>
      </c>
      <c r="E7" s="7">
        <f>Resurse!E38</f>
        <v/>
      </c>
      <c r="F7" s="7">
        <f>ROUND(D7*E7,2)</f>
        <v/>
      </c>
    </row>
    <row r="8">
      <c r="A8" t="n">
        <v>2</v>
      </c>
      <c r="B8">
        <f>Resurse!B39</f>
        <v/>
      </c>
      <c r="C8">
        <f>Resurse!C39</f>
        <v/>
      </c>
      <c r="D8" s="6">
        <f>SUMIFS(Analiza!$H$7:$H$52,Analiza!$C$7:$C$52,Resurse!$A$39)</f>
        <v/>
      </c>
      <c r="E8" s="7">
        <f>Resurse!E39</f>
        <v/>
      </c>
      <c r="F8" s="7">
        <f>ROUND(D8*E8,2)</f>
        <v/>
      </c>
    </row>
    <row r="9">
      <c r="B9" s="4" t="inlineStr">
        <is>
          <t>TOTAL</t>
        </is>
      </c>
      <c r="F9" s="7">
        <f>SUM(F7:F8)</f>
        <v/>
      </c>
    </row>
    <row r="10">
      <c r="B10" t="inlineStr">
        <is>
          <t>Verificare: diferență față de F3 (rotunjiri, trebuie ≈ 0)</t>
        </is>
      </c>
      <c r="F10" s="7">
        <f>ROUND(F9-F3!M19,0)</f>
        <v/>
      </c>
    </row>
    <row r="12">
      <c r="B12" t="inlineStr">
        <is>
          <t>OFERTANT,</t>
        </is>
      </c>
    </row>
    <row r="13">
      <c r="B13" t="inlineStr">
        <is>
          <t>BILZI STEEL PROFILE S.R.L.</t>
        </is>
      </c>
    </row>
    <row r="14">
      <c r="B14" t="inlineStr">
        <is>
          <t>Șerban Marius – administrator</t>
        </is>
      </c>
    </row>
    <row r="15">
      <c r="B15" t="inlineStr">
        <is>
          <t>Semnătura și ștampila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50" customWidth="1" min="2" max="2"/>
    <col width="14" customWidth="1" min="3" max="3"/>
  </cols>
  <sheetData>
    <row r="1">
      <c r="A1" s="1" t="inlineStr">
        <is>
          <t>Graficul de execuție fizic și valoric – 45 zile calendaristice (7 săptămâni)</t>
        </is>
      </c>
    </row>
    <row r="2">
      <c r="A2" t="inlineStr">
        <is>
          <t>Obiectiv: Lucrări de reparații acoperiș pav. C4, cazarma 3589 București – Beneficiar: INCDMM „Cantacuzino”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Categoria de lucrări</t>
        </is>
      </c>
      <c r="C6" s="3" t="inlineStr">
        <is>
          <t>Valoare totală</t>
        </is>
      </c>
      <c r="D6" s="3" t="inlineStr">
        <is>
          <t>Săpt. 1 %</t>
        </is>
      </c>
      <c r="E6" s="3" t="inlineStr">
        <is>
          <t>Săpt. 2 %</t>
        </is>
      </c>
      <c r="F6" s="3" t="inlineStr">
        <is>
          <t>Săpt. 3 %</t>
        </is>
      </c>
      <c r="G6" s="3" t="inlineStr">
        <is>
          <t>Săpt. 4 %</t>
        </is>
      </c>
      <c r="H6" s="3" t="inlineStr">
        <is>
          <t>Săpt. 5 %</t>
        </is>
      </c>
      <c r="I6" s="3" t="inlineStr">
        <is>
          <t>Săpt. 6 %</t>
        </is>
      </c>
      <c r="J6" s="3" t="inlineStr">
        <is>
          <t>Săpt. 7 %</t>
        </is>
      </c>
      <c r="K6" s="3" t="inlineStr">
        <is>
          <t>Verificare %</t>
        </is>
      </c>
      <c r="L6" s="3" t="inlineStr">
        <is>
          <t>Săpt. 1 lei</t>
        </is>
      </c>
      <c r="M6" s="3" t="inlineStr">
        <is>
          <t>Săpt. 2 lei</t>
        </is>
      </c>
      <c r="N6" s="3" t="inlineStr">
        <is>
          <t>Săpt. 3 lei</t>
        </is>
      </c>
      <c r="O6" s="3" t="inlineStr">
        <is>
          <t>Săpt. 4 lei</t>
        </is>
      </c>
      <c r="P6" s="3" t="inlineStr">
        <is>
          <t>Săpt. 5 lei</t>
        </is>
      </c>
      <c r="Q6" s="3" t="inlineStr">
        <is>
          <t>Săpt. 6 lei</t>
        </is>
      </c>
      <c r="R6" s="3" t="inlineStr">
        <is>
          <t>Săpt. 7 lei</t>
        </is>
      </c>
    </row>
    <row r="7">
      <c r="A7" t="n">
        <v>1</v>
      </c>
      <c r="B7" t="inlineStr">
        <is>
          <t>Pavilion C4 – antemăsurătoare (Anexa 1)</t>
        </is>
      </c>
      <c r="C7" s="7">
        <f>F3!N24</f>
        <v/>
      </c>
      <c r="D7" s="18" t="n">
        <v>0.15</v>
      </c>
      <c r="E7" s="18" t="n">
        <v>0.2</v>
      </c>
      <c r="F7" s="18" t="n">
        <v>0.2</v>
      </c>
      <c r="G7" s="18" t="n">
        <v>0.2</v>
      </c>
      <c r="H7" s="18" t="n">
        <v>0.15</v>
      </c>
      <c r="I7" s="18" t="n">
        <v>0.1</v>
      </c>
      <c r="J7" s="18" t="n">
        <v>0</v>
      </c>
      <c r="K7" s="14">
        <f>SUM(D7:J7)</f>
        <v/>
      </c>
      <c r="L7" s="7">
        <f>ROUND($C7*D7,2)</f>
        <v/>
      </c>
      <c r="M7" s="7">
        <f>ROUND($C7*E7,2)</f>
        <v/>
      </c>
      <c r="N7" s="7">
        <f>ROUND($C7*F7,2)</f>
        <v/>
      </c>
      <c r="O7" s="7">
        <f>ROUND($C7*G7,2)</f>
        <v/>
      </c>
      <c r="P7" s="7">
        <f>ROUND($C7*H7,2)</f>
        <v/>
      </c>
      <c r="Q7" s="7">
        <f>ROUND($C7*I7,2)</f>
        <v/>
      </c>
      <c r="R7" s="7">
        <f>ROUND($C7*J7,2)</f>
        <v/>
      </c>
    </row>
    <row r="8">
      <c r="B8" s="4" t="inlineStr">
        <is>
          <t>TOTAL</t>
        </is>
      </c>
      <c r="C8" s="7">
        <f>SUM(C7:C7)</f>
        <v/>
      </c>
      <c r="L8" s="7">
        <f>SUM(L7:L7)</f>
        <v/>
      </c>
      <c r="M8" s="7">
        <f>SUM(M7:M7)</f>
        <v/>
      </c>
      <c r="N8" s="7">
        <f>SUM(N7:N7)</f>
        <v/>
      </c>
      <c r="O8" s="7">
        <f>SUM(O7:O7)</f>
        <v/>
      </c>
      <c r="P8" s="7">
        <f>SUM(P7:P7)</f>
        <v/>
      </c>
      <c r="Q8" s="7">
        <f>SUM(Q7:Q7)</f>
        <v/>
      </c>
      <c r="R8" s="7">
        <f>SUM(R7:R7)</f>
        <v/>
      </c>
    </row>
    <row r="9">
      <c r="B9" t="inlineStr">
        <is>
          <t>Verificare: diferență față de totalul F3 (trebuie ≈ 0)</t>
        </is>
      </c>
      <c r="C9" s="7">
        <f>ROUND(C8-F3!N24,0)</f>
        <v/>
      </c>
    </row>
    <row r="11">
      <c r="B11" t="inlineStr">
        <is>
          <t>OFERTANT,</t>
        </is>
      </c>
    </row>
    <row r="12">
      <c r="B12" t="inlineStr">
        <is>
          <t>BILZI STEEL PROFILE S.R.L.</t>
        </is>
      </c>
    </row>
    <row r="13">
      <c r="B13" t="inlineStr">
        <is>
          <t>Șerban Marius – administrator</t>
        </is>
      </c>
    </row>
    <row r="14">
      <c r="B14" t="inlineStr">
        <is>
          <t>Semnătura și ștampila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</cols>
  <sheetData>
    <row r="1">
      <c r="A1" s="1" t="inlineStr">
        <is>
          <t>ANEXA LA FORMULARUL DE OFERTĂ</t>
        </is>
      </c>
    </row>
    <row r="2">
      <c r="A2" t="inlineStr">
        <is>
          <t>Titlul contractului: „Lucrări de reparații acoperiș pav. C4, cazarma 3589 București”</t>
        </is>
      </c>
    </row>
    <row r="4">
      <c r="A4" s="3" t="inlineStr">
        <is>
          <t>Denumire</t>
        </is>
      </c>
      <c r="B4" s="3" t="inlineStr">
        <is>
          <t>Valoare lei (fără TVA)</t>
        </is>
      </c>
    </row>
    <row r="5">
      <c r="A5" t="inlineStr">
        <is>
          <t>Pavilion C4 – antemăsurătoare (Anexa 1)</t>
        </is>
      </c>
      <c r="B5" s="7">
        <f>Grafic!C7</f>
        <v/>
      </c>
    </row>
    <row r="6">
      <c r="A6" s="4" t="inlineStr">
        <is>
          <t>TOTAL fără TVA</t>
        </is>
      </c>
      <c r="B6" s="7">
        <f>F3!N24</f>
        <v/>
      </c>
    </row>
    <row r="7">
      <c r="A7" t="inlineStr">
        <is>
          <t>TVA 21%</t>
        </is>
      </c>
      <c r="B7" s="7">
        <f>F3!N25</f>
        <v/>
      </c>
    </row>
    <row r="8">
      <c r="A8" s="4" t="inlineStr">
        <is>
          <t>TOTAL cu TVA</t>
        </is>
      </c>
      <c r="B8" s="7">
        <f>F3!N26</f>
        <v/>
      </c>
    </row>
    <row r="10">
      <c r="A10" t="inlineStr">
        <is>
          <t>OFERTANT,</t>
        </is>
      </c>
    </row>
    <row r="11">
      <c r="A11" t="inlineStr">
        <is>
          <t>BILZI STEEL PROFILE S.R.L.</t>
        </is>
      </c>
    </row>
    <row r="12">
      <c r="A12" t="inlineStr">
        <is>
          <t>Șerban Marius – administrator</t>
        </is>
      </c>
    </row>
    <row r="13">
      <c r="A13" t="inlineStr">
        <is>
          <t>Semnătura și ștampila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2026-10-02T08:06:04Z</dcterms:created>
  <dcterms:modified xmlns:dcterms="http://purl.org/dc/terms/" xmlns:xsi="http://www.w3.org/2001/XMLSchema-instance" xsi:type="dcterms:W3CDTF">2026-10-02T08:06:04Z</dcterms:modified>
</cp:coreProperties>
</file>