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scutaru\Desktop\New folder\Liste cantitati\"/>
    </mc:Choice>
  </mc:AlternateContent>
  <bookViews>
    <workbookView xWindow="5385" yWindow="5385" windowWidth="28800" windowHeight="15375"/>
  </bookViews>
  <sheets>
    <sheet name="O.101 D.101" sheetId="1" r:id="rId1"/>
  </sheets>
  <definedNames>
    <definedName name="_xlnm.Print_Titles" localSheetId="0">'O.101 D.101'!$6:$11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7" i="1" l="1"/>
  <c r="E307" i="1"/>
  <c r="D307" i="1"/>
  <c r="I306" i="1"/>
  <c r="E306" i="1"/>
  <c r="D306" i="1"/>
  <c r="D305" i="1"/>
  <c r="D304" i="1"/>
  <c r="H303" i="1"/>
  <c r="G303" i="1"/>
  <c r="D302" i="1"/>
  <c r="B302" i="1"/>
  <c r="D301" i="1"/>
  <c r="B301" i="1"/>
  <c r="D300" i="1"/>
  <c r="B300" i="1"/>
  <c r="D299" i="1"/>
  <c r="B299" i="1"/>
  <c r="D298" i="1"/>
  <c r="B298" i="1"/>
  <c r="D297" i="1"/>
  <c r="B297" i="1"/>
  <c r="D296" i="1"/>
  <c r="B296" i="1"/>
  <c r="D295" i="1"/>
  <c r="B295" i="1"/>
  <c r="F294" i="1"/>
  <c r="F300" i="1" s="1"/>
  <c r="I300" i="1" s="1"/>
  <c r="D294" i="1"/>
  <c r="B294" i="1"/>
  <c r="H292" i="1"/>
  <c r="G292" i="1"/>
  <c r="G291" i="1" s="1"/>
  <c r="F292" i="1"/>
  <c r="F291" i="1" s="1"/>
  <c r="H291" i="1"/>
  <c r="H290" i="1"/>
  <c r="H289" i="1"/>
  <c r="G289" i="1"/>
  <c r="F289" i="1"/>
  <c r="E289" i="1"/>
  <c r="I288" i="1"/>
  <c r="E288" i="1"/>
  <c r="D288" i="1"/>
  <c r="I287" i="1"/>
  <c r="E287" i="1"/>
  <c r="G286" i="1"/>
  <c r="G285" i="1"/>
  <c r="G284" i="1"/>
  <c r="P282" i="1"/>
  <c r="O282" i="1"/>
  <c r="N282" i="1"/>
  <c r="S282" i="1"/>
  <c r="R282" i="1"/>
  <c r="Q282" i="1"/>
  <c r="M282" i="1"/>
  <c r="L282" i="1"/>
  <c r="K282" i="1"/>
  <c r="I282" i="1"/>
  <c r="H282" i="1"/>
  <c r="G282" i="1"/>
  <c r="F282" i="1"/>
  <c r="E282" i="1"/>
  <c r="G278" i="1"/>
  <c r="F278" i="1"/>
  <c r="D278" i="1"/>
  <c r="G273" i="1"/>
  <c r="F273" i="1"/>
  <c r="D273" i="1"/>
  <c r="G268" i="1"/>
  <c r="F268" i="1"/>
  <c r="D268" i="1"/>
  <c r="G263" i="1"/>
  <c r="F263" i="1"/>
  <c r="D263" i="1"/>
  <c r="G258" i="1"/>
  <c r="F258" i="1"/>
  <c r="D258" i="1"/>
  <c r="G253" i="1"/>
  <c r="F253" i="1"/>
  <c r="D253" i="1"/>
  <c r="G248" i="1"/>
  <c r="F248" i="1"/>
  <c r="D248" i="1"/>
  <c r="G243" i="1"/>
  <c r="F243" i="1"/>
  <c r="D243" i="1"/>
  <c r="G238" i="1"/>
  <c r="F238" i="1"/>
  <c r="D238" i="1"/>
  <c r="G233" i="1"/>
  <c r="F233" i="1"/>
  <c r="D233" i="1"/>
  <c r="G228" i="1"/>
  <c r="F228" i="1"/>
  <c r="D228" i="1"/>
  <c r="G223" i="1"/>
  <c r="F223" i="1"/>
  <c r="D223" i="1"/>
  <c r="G218" i="1"/>
  <c r="F218" i="1"/>
  <c r="D218" i="1"/>
  <c r="G213" i="1"/>
  <c r="F213" i="1"/>
  <c r="D213" i="1"/>
  <c r="G208" i="1"/>
  <c r="F208" i="1"/>
  <c r="D208" i="1"/>
  <c r="G203" i="1"/>
  <c r="F203" i="1"/>
  <c r="D203" i="1"/>
  <c r="G198" i="1"/>
  <c r="F198" i="1"/>
  <c r="D198" i="1"/>
  <c r="G193" i="1"/>
  <c r="F193" i="1"/>
  <c r="D193" i="1"/>
  <c r="G188" i="1"/>
  <c r="F188" i="1"/>
  <c r="D188" i="1"/>
  <c r="G183" i="1"/>
  <c r="F183" i="1"/>
  <c r="D183" i="1"/>
  <c r="G178" i="1"/>
  <c r="F178" i="1"/>
  <c r="D178" i="1"/>
  <c r="G173" i="1"/>
  <c r="F173" i="1"/>
  <c r="D173" i="1"/>
  <c r="G168" i="1"/>
  <c r="F168" i="1"/>
  <c r="D168" i="1"/>
  <c r="G163" i="1"/>
  <c r="F163" i="1"/>
  <c r="D163" i="1"/>
  <c r="G158" i="1"/>
  <c r="F158" i="1"/>
  <c r="D158" i="1"/>
  <c r="G153" i="1"/>
  <c r="F153" i="1"/>
  <c r="D153" i="1"/>
  <c r="G148" i="1"/>
  <c r="F148" i="1"/>
  <c r="D148" i="1"/>
  <c r="G143" i="1"/>
  <c r="F143" i="1"/>
  <c r="D143" i="1"/>
  <c r="G138" i="1"/>
  <c r="F138" i="1"/>
  <c r="D138" i="1"/>
  <c r="G133" i="1"/>
  <c r="F133" i="1"/>
  <c r="D133" i="1"/>
  <c r="G128" i="1"/>
  <c r="F128" i="1"/>
  <c r="D128" i="1"/>
  <c r="G123" i="1"/>
  <c r="F123" i="1"/>
  <c r="D123" i="1"/>
  <c r="G118" i="1"/>
  <c r="F118" i="1"/>
  <c r="D118" i="1"/>
  <c r="G113" i="1"/>
  <c r="F113" i="1"/>
  <c r="D113" i="1"/>
  <c r="G108" i="1"/>
  <c r="F108" i="1"/>
  <c r="D108" i="1"/>
  <c r="G103" i="1"/>
  <c r="F103" i="1"/>
  <c r="D103" i="1"/>
  <c r="G98" i="1"/>
  <c r="F98" i="1"/>
  <c r="D98" i="1"/>
  <c r="G93" i="1"/>
  <c r="F93" i="1"/>
  <c r="D93" i="1"/>
  <c r="G88" i="1"/>
  <c r="F88" i="1"/>
  <c r="D88" i="1"/>
  <c r="G83" i="1"/>
  <c r="F83" i="1"/>
  <c r="D83" i="1"/>
  <c r="G78" i="1"/>
  <c r="F78" i="1"/>
  <c r="D78" i="1"/>
  <c r="G73" i="1"/>
  <c r="F73" i="1"/>
  <c r="D73" i="1"/>
  <c r="G68" i="1"/>
  <c r="F68" i="1"/>
  <c r="D68" i="1"/>
  <c r="G63" i="1"/>
  <c r="F63" i="1"/>
  <c r="D63" i="1"/>
  <c r="G58" i="1"/>
  <c r="F58" i="1"/>
  <c r="D58" i="1"/>
  <c r="G53" i="1"/>
  <c r="F53" i="1"/>
  <c r="D53" i="1"/>
  <c r="G48" i="1"/>
  <c r="F48" i="1"/>
  <c r="D48" i="1"/>
  <c r="G43" i="1"/>
  <c r="F43" i="1"/>
  <c r="D43" i="1"/>
  <c r="G38" i="1"/>
  <c r="F38" i="1"/>
  <c r="D38" i="1"/>
  <c r="G33" i="1"/>
  <c r="F33" i="1"/>
  <c r="D33" i="1"/>
  <c r="G28" i="1"/>
  <c r="F28" i="1"/>
  <c r="D28" i="1"/>
  <c r="G23" i="1"/>
  <c r="F23" i="1"/>
  <c r="D23" i="1"/>
  <c r="G18" i="1"/>
  <c r="F18" i="1"/>
  <c r="D18" i="1"/>
  <c r="G13" i="1"/>
  <c r="F13" i="1"/>
  <c r="D13" i="1"/>
  <c r="F301" i="1" l="1"/>
  <c r="I301" i="1" s="1"/>
  <c r="F297" i="1"/>
  <c r="I297" i="1" s="1"/>
  <c r="F298" i="1"/>
  <c r="I298" i="1" s="1"/>
  <c r="I294" i="1"/>
  <c r="F295" i="1"/>
  <c r="I295" i="1" s="1"/>
  <c r="F299" i="1"/>
  <c r="I299" i="1" s="1"/>
  <c r="F296" i="1"/>
  <c r="I296" i="1" s="1"/>
  <c r="E292" i="1"/>
  <c r="E291" i="1" s="1"/>
  <c r="I292" i="1"/>
  <c r="E302" i="1"/>
  <c r="I302" i="1" s="1"/>
  <c r="F303" i="1" l="1"/>
  <c r="E303" i="1"/>
  <c r="I303" i="1" l="1"/>
  <c r="I304" i="1" l="1"/>
  <c r="I305" i="1" s="1"/>
  <c r="I308" i="1" s="1"/>
</calcChain>
</file>

<file path=xl/sharedStrings.xml><?xml version="1.0" encoding="utf-8"?>
<sst xmlns="http://schemas.openxmlformats.org/spreadsheetml/2006/main" count="262" uniqueCount="166">
  <si>
    <t>Formular F3</t>
  </si>
  <si>
    <r>
      <t xml:space="preserve">Obiectiv: 101 </t>
    </r>
    <r>
      <rPr>
        <sz val="10"/>
        <color theme="1"/>
        <rFont val="Calibri"/>
        <family val="2"/>
        <scheme val="minor"/>
      </rPr>
      <t>RC PAV H CAZARMA 1164 RASNOV</t>
    </r>
  </si>
  <si>
    <t>LISTA_x000D_
cu cantitatile de lucrari pe categorii de lucrari</t>
  </si>
  <si>
    <r>
      <t xml:space="preserve">Obiect: 101 </t>
    </r>
    <r>
      <rPr>
        <sz val="10"/>
        <color theme="1"/>
        <rFont val="Calibri"/>
        <family val="2"/>
        <scheme val="minor"/>
      </rPr>
      <t>RC PAVILION H</t>
    </r>
  </si>
  <si>
    <t>[ ron ]</t>
  </si>
  <si>
    <r>
      <t xml:space="preserve">Categorie: 101 </t>
    </r>
    <r>
      <rPr>
        <sz val="10"/>
        <color theme="1"/>
        <rFont val="Calibri"/>
        <family val="2"/>
        <scheme val="minor"/>
      </rPr>
      <t>Constructii</t>
    </r>
  </si>
  <si>
    <t>Nr.</t>
  </si>
  <si>
    <t>Capitol lucrari</t>
  </si>
  <si>
    <t>U/M</t>
  </si>
  <si>
    <t>Cantitatea</t>
  </si>
  <si>
    <t>Pretul unitar</t>
  </si>
  <si>
    <t>Valoare</t>
  </si>
  <si>
    <t>Crt.</t>
  </si>
  <si>
    <t>Simbol</t>
  </si>
  <si>
    <t>a)materiale</t>
  </si>
  <si>
    <t>Denumire resursa</t>
  </si>
  <si>
    <t>b)manopera</t>
  </si>
  <si>
    <t>Observatii</t>
  </si>
  <si>
    <t>c)utilaj</t>
  </si>
  <si>
    <t>Corectii</t>
  </si>
  <si>
    <t>d)transport</t>
  </si>
  <si>
    <t>Liste Anexe</t>
  </si>
  <si>
    <t>Total(a+b+c+d)</t>
  </si>
  <si>
    <t>RPCA01A1     82</t>
  </si>
  <si>
    <t xml:space="preserve">M CUB     </t>
  </si>
  <si>
    <t xml:space="preserve">SAPATURA DE PAMINT IN SPATII LIMITATE SUB 1,00 M LATIME SI 1,50 M ADINCIME CU MALURI NESPRIJINITE * </t>
  </si>
  <si>
    <t xml:space="preserve">                                                  </t>
  </si>
  <si>
    <t>RPCT26A1     82</t>
  </si>
  <si>
    <t xml:space="preserve">MP        </t>
  </si>
  <si>
    <t xml:space="preserve">DESFACEREA INVELITORILOR DIN TABLA ZINCATA SAU NEAGRA DE 0,4-0,5 MM CU INCLUSIV RECONDIT.MAT.*      </t>
  </si>
  <si>
    <t>RPCT34A1     82</t>
  </si>
  <si>
    <t xml:space="preserve">KG        </t>
  </si>
  <si>
    <t xml:space="preserve">DEMONTAREA USILOR SI FERESTRELOR METALICE *                                                         </t>
  </si>
  <si>
    <t>IZD02C1      82</t>
  </si>
  <si>
    <t xml:space="preserve">TONE      </t>
  </si>
  <si>
    <t xml:space="preserve">CURATIRE RUGINA CU PERIE SIRMA A PIESELOR METALICE PARAPETE.BALUSTRADE                              </t>
  </si>
  <si>
    <t>IZD03C1      82</t>
  </si>
  <si>
    <t xml:space="preserve">VOPSIREA CU PENSULA DE MINA CU VOPSEA DE MINIU PE CONF SI CONSTR METAL DIN PROFILE PINA LA 8 MM     </t>
  </si>
  <si>
    <t>CA02A        02</t>
  </si>
  <si>
    <t xml:space="preserve">TURNARE BETON SIMPLU IN EGALIZARI, PANTE, SAPE                                                      </t>
  </si>
  <si>
    <t xml:space="preserve">2613           </t>
  </si>
  <si>
    <t xml:space="preserve">ORE       </t>
  </si>
  <si>
    <t xml:space="preserve">APARAT DE NIVELAT (ELICOPTER)                                                                       </t>
  </si>
  <si>
    <t xml:space="preserve">1996           </t>
  </si>
  <si>
    <t xml:space="preserve">MASINA DE TAIAT ROSTURI LA BETON CU DISCURI ABRAZIVE                                                </t>
  </si>
  <si>
    <t>RPCE18A      02</t>
  </si>
  <si>
    <t xml:space="preserve">M         </t>
  </si>
  <si>
    <t>ETANSAREA ROST.DILATARE,TERASE-PLANSEE-PERETI- UMPLEREA PARTIALA A GOLURILOR,INT-EXT:CILTI DE CINEPA</t>
  </si>
  <si>
    <t>CD07B        02</t>
  </si>
  <si>
    <t xml:space="preserve">ACOPERIS DIN PAN.DIN TB ZN CUTATA PRINSE CU SURUBURI AUTOFILET LA O INALTIME PANA LA 6 M INCLUSIV   </t>
  </si>
  <si>
    <t xml:space="preserve">Panou acoperis 5 nervuri PUR 100                  </t>
  </si>
  <si>
    <t xml:space="preserve">PERETI DIN PAN.DIN TB ZN CUTATA PRINSE CU SURUBURI AUTOFILET LA O INALTIME PANA LA 6 M INCLUSIV     </t>
  </si>
  <si>
    <t xml:space="preserve">PANOU PERETE PRINDERE ASCUNSA PUR 100             </t>
  </si>
  <si>
    <t>RPCD07C      09</t>
  </si>
  <si>
    <t xml:space="preserve">MONTARE PLASE SUDATE STM /STNB LA PLACI                                                             </t>
  </si>
  <si>
    <t>CD14C        02</t>
  </si>
  <si>
    <t xml:space="preserve">ASIM. SUBCOAMA  ACOERIS INTERIOARA                                                                  </t>
  </si>
  <si>
    <t xml:space="preserve">ASIM. SUBCOAMA ACOPERIS EXTERIOARA 300X300                                                          </t>
  </si>
  <si>
    <t xml:space="preserve">ASIM. PROFIL MASCARE COLTARE EXTERIOR PANOU SANDWICH10/10                                           </t>
  </si>
  <si>
    <t xml:space="preserve">ASIM. PROFIL PICURATOR SOCLU                                                                        </t>
  </si>
  <si>
    <t xml:space="preserve">ASIM. PROFIL PICURATOR FEREASTRA                                                                    </t>
  </si>
  <si>
    <t xml:space="preserve">ASIM. PROFIL USI SECTIONALE                                                                         </t>
  </si>
  <si>
    <t xml:space="preserve">ASIM. PROFIL SECTIONAL FEREASTRA                                                                    </t>
  </si>
  <si>
    <t xml:space="preserve">ASIM. PROFILE SECTIONALE INCHIDERE INVELITOARE                                                      </t>
  </si>
  <si>
    <t>CE20F        02</t>
  </si>
  <si>
    <t>JGHEABURI DIN TB.ZN.DE 0,5MM PETRECUTE 20MM,LIPITEINCL.COLTURI,CAPACE,DREPTUNGHIULARE CU SECT 8X14CM</t>
  </si>
  <si>
    <t xml:space="preserve">JGHEABURI METALICE HIGHLINE-SIMILAR               </t>
  </si>
  <si>
    <t>RPCI20C      02</t>
  </si>
  <si>
    <t xml:space="preserve">BURLANE DIN TABLA ZN SAU ALUMINIU, 0,5 MM,LA CLAD.EXIST,EXEC.PE SANTIER,ROTUNDE,D= 15,4 CM          </t>
  </si>
  <si>
    <t>CL12XB       91</t>
  </si>
  <si>
    <t xml:space="preserve">CONFECTII METALICE DIVERSE:ALTE CONFECTII APARENTE (SCARI EXTERIOARE DE INCENDIU,ETC.)              </t>
  </si>
  <si>
    <t xml:space="preserve">Teava rectangulara 80x40x4-similar                </t>
  </si>
  <si>
    <t>RPCP32D      02</t>
  </si>
  <si>
    <t xml:space="preserve">INLOCUIREA USILOR METAL,CONF.DIN PROFILE+TABLA AL,INCL.ARM+FERONERIA,MONT.IN ZID:2 CANAT,S=&lt;7 MP    </t>
  </si>
  <si>
    <t xml:space="preserve">Usi 3000x3000 cf. caiet sarcini                   </t>
  </si>
  <si>
    <t>CK23C        02</t>
  </si>
  <si>
    <t xml:space="preserve">FERESTRE MASE PLASTICE CU SUPR.TOC PESTE 2,5 MP                                                     </t>
  </si>
  <si>
    <t>IZE03A       09</t>
  </si>
  <si>
    <t xml:space="preserve">SORTURI,GLAFURI SI GULERE DIN TABLA AL, DE 1,5 MM GROSIME, CU LATIME DESFASURATA DE PANA LA 30 CM   </t>
  </si>
  <si>
    <t>CB03B        02</t>
  </si>
  <si>
    <t xml:space="preserve">COFRAJE PAN REFOLOS CU PLACAJ 15MM PT.ELEVATII ZIDURI DREPTE PANA LA 6M INCLUSIV SPRIJINIRILE       </t>
  </si>
  <si>
    <t>CO01A1       82</t>
  </si>
  <si>
    <t xml:space="preserve">TROTUAR DIN BETON SIMPLU TURNAT PE LOC                                                              </t>
  </si>
  <si>
    <t>CB47A1       82</t>
  </si>
  <si>
    <t xml:space="preserve">MONTAREA SI DEMONTARE SCHELEI MET TUBULARE PT LUCRARI PE SUPRAFETE VERTICALE  H&lt;30,0M               </t>
  </si>
  <si>
    <t>TRA01A01P    82</t>
  </si>
  <si>
    <t>TRANSPORTUL RUTIER AL PAMINTULUI SAU MOLOZULUI CU AUTOBASCULANTA DIST.= 1 KM                       $</t>
  </si>
  <si>
    <t>TRA06A15     82</t>
  </si>
  <si>
    <t>TRANSPORTUL RUTIER AL BETONULUI-MORTARULUI CU AUTOBETONIERA DE 5,5MC DIST.  =15KM                  $</t>
  </si>
  <si>
    <t>TRA01A25     82</t>
  </si>
  <si>
    <t>TRANSPORTUL RUTIER AL MATERIALELOR,SEMIFABRICATELOR CU AUTOBASCULANTA PE DIST.=  25 KM.            $</t>
  </si>
  <si>
    <t>CL01A        02</t>
  </si>
  <si>
    <t xml:space="preserve">STALPI DIN OTEL GATA CONF.LIVRATI COMPLET ASAMBL. MONTATI LA H&lt;35M,AVAND PANA LA 1 TONA INCLUSIV    </t>
  </si>
  <si>
    <t>RPCP22B1     82</t>
  </si>
  <si>
    <t xml:space="preserve">BUCATA    </t>
  </si>
  <si>
    <t xml:space="preserve">REFACERE INCASTRARI LA STILPII IMPREJMUIR.METAL.                                                    </t>
  </si>
  <si>
    <t xml:space="preserve">carotaj fundatie si incastrare stalp              </t>
  </si>
  <si>
    <t>CMTH02D2     02</t>
  </si>
  <si>
    <t xml:space="preserve">ASAMBLARE CONSTRUCTIE MET.CU ZABRELE 6-10 ELEMENTE PRIN SUDURA, GREUT.DUPA ASAMBLARE 501-700 KG     </t>
  </si>
  <si>
    <t xml:space="preserve">Repozitionare grinzi cu zabrele                   </t>
  </si>
  <si>
    <t>RPCP25D      02</t>
  </si>
  <si>
    <t xml:space="preserve">CONFECTII PT.CONSOLIDARI:CONFECTIONARE SI MONTARE DISPOZITIV FILETAT DE STRINGERE TIRANTI METALICI  </t>
  </si>
  <si>
    <t xml:space="preserve">Revizuire tiranti ferme                           </t>
  </si>
  <si>
    <t>RPVA08E      99</t>
  </si>
  <si>
    <t xml:space="preserve">CONF.SI MONT.INTARITURI RIGIDIZARE LA PERETII CANAL METALIC DE VENT., DIN PROFIL CORNIER ARIPI EG.  </t>
  </si>
  <si>
    <t xml:space="preserve">Rigidizare montanti oriz, pane cu teava 40x40x3   </t>
  </si>
  <si>
    <t>PG21A        99</t>
  </si>
  <si>
    <t xml:space="preserve">MATERIAL MET.PREL.PRTIAL IN UZINA, PT.CONSOL.DE TABL.MET.IN GUSEE, PLATBANDE, PROFILE - PROCURARE   </t>
  </si>
  <si>
    <t xml:space="preserve">Gusee contravantuiri 20x20x10mm                   </t>
  </si>
  <si>
    <t>PJ44XA       93</t>
  </si>
  <si>
    <t xml:space="preserve">SUDURA EL.MAN.PT.IMBINARE PIESE METAL ASEZATE PRIN SUPRAPUNERE GROSIME 5-10 MM                      </t>
  </si>
  <si>
    <t>CG32D1       82</t>
  </si>
  <si>
    <t xml:space="preserve">UMPLUTURI IN STRATURI,EXECUTATE CU PIATRA SPARTA SI NISIP,COMPACTATE MECANIC                        </t>
  </si>
  <si>
    <t>TSC03B1      82</t>
  </si>
  <si>
    <t xml:space="preserve">SUTE MC   </t>
  </si>
  <si>
    <t xml:space="preserve">SAPAT.MEC.CU EXC.DE 0,41-0,7 MC IN PAM.CU UMIDITATE.NATURAL DESC.DEP.TEREN CAT 2                    </t>
  </si>
  <si>
    <t>RPAH01A1     82</t>
  </si>
  <si>
    <t xml:space="preserve">SPARGEREA MANUALA FUNDATII BETON SIMPLU PRIN INTERIOR CANALE INALT.1,20-1,80 M ACOPERIRE 1-5 M*     </t>
  </si>
  <si>
    <t>DG06A1       82</t>
  </si>
  <si>
    <t xml:space="preserve">SPARG SI DESF BET CIM PE SUPRAF LIMIT PT POZARE   CABLE COND,POD,GURI SCURGERE LA IMBRAC CAROSABILA </t>
  </si>
  <si>
    <t>EF04A1       82</t>
  </si>
  <si>
    <t xml:space="preserve">TABLOU ELECTRIC CAPSULAT DIN CUTII (DE BARE,DE SIGURANTA,INTERMED.,TERM.) PE SCHEL.MET.CU &lt;6CUTII   </t>
  </si>
  <si>
    <t xml:space="preserve">Tablou electric capsulat cu 2 sig 10A             </t>
  </si>
  <si>
    <t>EE07XE       91</t>
  </si>
  <si>
    <t xml:space="preserve">CORP DE ILUMINAT CU LAMPI TUBULARE FLUORESCENTE DETIP ETANS,MONTAT PE SUSPENSII DIN CABLU TRACTIUNE </t>
  </si>
  <si>
    <t xml:space="preserve">Corp iluminat LED                                 </t>
  </si>
  <si>
    <t>EC05A1       82</t>
  </si>
  <si>
    <t xml:space="preserve">CABLU ENERGIE TRAS PRIN TUB PROT METAL PT RACORD MOTOARE TABLOURI APARATE CONDUCTE &lt; 16 MMP.*       </t>
  </si>
  <si>
    <t xml:space="preserve">Cablu CYYF 3x1.5                                  </t>
  </si>
  <si>
    <t>EA04A2       82</t>
  </si>
  <si>
    <t xml:space="preserve">TUB DE PROTECTIE ETANS SI LACUIT PEL MONTAT INGROPAT CU D=13,5MM                                    </t>
  </si>
  <si>
    <t>RCSE40A      02</t>
  </si>
  <si>
    <t xml:space="preserve">STRATURI IZOLATOARE DIN : FOLIE PVC                                                                 </t>
  </si>
  <si>
    <t>EG01I1       82</t>
  </si>
  <si>
    <t xml:space="preserve">TIJA CAPTARE PT.INST.PARATRASNET,TIP PV-1 DE 5M                                                     </t>
  </si>
  <si>
    <t xml:space="preserve">900601         </t>
  </si>
  <si>
    <t xml:space="preserve">PDA                                                                                                 </t>
  </si>
  <si>
    <t>EG07F1       82</t>
  </si>
  <si>
    <t xml:space="preserve">COND.COBOR. SIRMA TRASA ZINC.MONT.APAR.PE ZIDURI,D=8MM                                              </t>
  </si>
  <si>
    <t>RPEH03A      99</t>
  </si>
  <si>
    <t xml:space="preserve">MONTARE PIESA DE SEPARATIE                                                                          </t>
  </si>
  <si>
    <t>W2I03XF1     93</t>
  </si>
  <si>
    <t xml:space="preserve">PRIZA DE PAMINT,TEREN NORMAL TIP C3, 1 ELECTROD   ORIZONTAL DE 12M SI 3 ELECTR. VERT. TEAVA 2"      </t>
  </si>
  <si>
    <t>EH09XA       93</t>
  </si>
  <si>
    <t xml:space="preserve">VERIFICAREA PRIZELOR DE PAMINT                                                                      </t>
  </si>
  <si>
    <t>Cheltuieli directe</t>
  </si>
  <si>
    <t xml:space="preserve">  din care utilaje</t>
  </si>
  <si>
    <t xml:space="preserve">  - Vut termice</t>
  </si>
  <si>
    <t xml:space="preserve">  - Vut electrice</t>
  </si>
  <si>
    <t xml:space="preserve">  - Vut altele</t>
  </si>
  <si>
    <t xml:space="preserve"> Material beneficiar</t>
  </si>
  <si>
    <t xml:space="preserve"> Mat. demontat-remont.</t>
  </si>
  <si>
    <t xml:space="preserve">  Factor multiplicare</t>
  </si>
  <si>
    <t xml:space="preserve">  Coeficient actualizare</t>
  </si>
  <si>
    <t xml:space="preserve">  Valoare actualizare</t>
  </si>
  <si>
    <t>Total cheltuieli directe actualizat</t>
  </si>
  <si>
    <t>Alte cheltuieli directe</t>
  </si>
  <si>
    <t>TOTAL CHELT. DIRECTE</t>
  </si>
  <si>
    <t>Cheltuieli indirecte    Io =</t>
  </si>
  <si>
    <t>x To</t>
  </si>
  <si>
    <t>Profit                  Po =</t>
  </si>
  <si>
    <t>x (To+Io)</t>
  </si>
  <si>
    <t>TOTAL GENERAL categorie Vo =</t>
  </si>
  <si>
    <t>To+Io+Po</t>
  </si>
  <si>
    <t/>
  </si>
  <si>
    <t xml:space="preserve">                                               OFERTANT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</si>
</sst>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00"/>
    <numFmt numFmtId="165" formatCode="#,##0.00%;\ &quot; &quot;"/>
    <numFmt numFmtId="166" formatCode="#,##0.000"/>
    <numFmt numFmtId="167" formatCode="#,##0.000%;\ &quot; &quot;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Lucida Handwriting"/>
    </font>
    <font>
      <b/>
      <sz val="16"/>
      <color theme="1"/>
      <name val="Lucida Handwriting"/>
    </font>
    <font>
      <b/>
      <i/>
      <sz val="16"/>
      <color theme="1"/>
      <name val="Lucida Handwriting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ourier New"/>
      <family val="3"/>
    </font>
    <font>
      <b/>
      <sz val="8"/>
      <color theme="1"/>
      <name val="Calibri"/>
      <family val="2"/>
      <scheme val="minor"/>
    </font>
    <font>
      <i/>
      <sz val="8"/>
      <color theme="1"/>
      <name val="Courier New"/>
      <family val="3"/>
    </font>
    <font>
      <b/>
      <sz val="10"/>
      <color theme="1"/>
      <name val="Calibri"/>
      <family val="2"/>
      <scheme val="minor"/>
    </font>
    <font>
      <b/>
      <sz val="9"/>
      <color theme="1"/>
      <name val="Courier New"/>
      <family val="3"/>
    </font>
    <font>
      <sz val="11"/>
      <color theme="1"/>
      <name val="Courier New"/>
      <family val="3"/>
    </font>
    <font>
      <b/>
      <i/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49" fontId="2" fillId="0" borderId="0" applyFill="0" applyBorder="0" applyProtection="0">
      <alignment horizontal="left" vertical="center" wrapText="1"/>
    </xf>
    <xf numFmtId="49" fontId="3" fillId="0" borderId="0" applyFill="0" applyBorder="0" applyProtection="0">
      <alignment horizontal="left" vertical="center" wrapText="1"/>
    </xf>
    <xf numFmtId="49" fontId="5" fillId="0" borderId="0" applyFill="0" applyBorder="0" applyProtection="0">
      <alignment horizontal="center" vertical="center" wrapText="1"/>
    </xf>
    <xf numFmtId="0" fontId="7" fillId="0" borderId="0" applyNumberFormat="0" applyFill="0" applyBorder="0" applyProtection="0">
      <alignment horizontal="center"/>
    </xf>
    <xf numFmtId="49" fontId="7" fillId="0" borderId="0" applyFill="0" applyBorder="0" applyProtection="0">
      <alignment horizontal="center" vertical="center"/>
    </xf>
    <xf numFmtId="49" fontId="7" fillId="0" borderId="0" applyFill="0" applyBorder="0" applyProtection="0">
      <alignment horizontal="left" vertical="center" wrapText="1"/>
    </xf>
    <xf numFmtId="49" fontId="7" fillId="0" borderId="0" applyFill="0" applyBorder="0" applyProtection="0">
      <alignment horizontal="left" vertical="center" wrapText="1"/>
    </xf>
    <xf numFmtId="49" fontId="8" fillId="0" borderId="0" applyFill="0" applyBorder="0" applyProtection="0">
      <alignment horizontal="left" vertical="center"/>
    </xf>
    <xf numFmtId="4" fontId="7" fillId="0" borderId="0" applyFill="0" applyBorder="0" applyProtection="0">
      <alignment horizontal="right" vertical="center"/>
    </xf>
    <xf numFmtId="4" fontId="7" fillId="0" borderId="0" applyFill="0" applyBorder="0" applyProtection="0">
      <alignment horizontal="center" vertical="center"/>
    </xf>
    <xf numFmtId="164" fontId="7" fillId="0" borderId="0" applyFill="0" applyBorder="0" applyProtection="0">
      <alignment vertical="center"/>
    </xf>
    <xf numFmtId="165" fontId="8" fillId="0" borderId="0" applyFill="0" applyBorder="0" applyProtection="0">
      <alignment horizontal="right" vertical="center"/>
    </xf>
    <xf numFmtId="164" fontId="6" fillId="0" borderId="0" applyFill="0" applyBorder="0" applyProtection="0">
      <alignment vertical="center"/>
    </xf>
    <xf numFmtId="49" fontId="9" fillId="0" borderId="0" applyFill="0" applyBorder="0" applyProtection="0">
      <alignment horizontal="left"/>
    </xf>
    <xf numFmtId="165" fontId="10" fillId="0" borderId="0" applyFill="0" applyBorder="0" applyAlignment="0" applyProtection="0">
      <alignment vertical="center"/>
    </xf>
    <xf numFmtId="166" fontId="7" fillId="0" borderId="0" applyFill="0" applyBorder="0" applyAlignment="0" applyProtection="0"/>
    <xf numFmtId="164" fontId="6" fillId="0" borderId="0" applyFill="0" applyBorder="0" applyAlignment="0" applyProtection="0"/>
    <xf numFmtId="166" fontId="6" fillId="0" borderId="0" applyFill="0" applyBorder="0" applyAlignment="0" applyProtection="0"/>
    <xf numFmtId="4" fontId="6" fillId="0" borderId="0" applyFill="0" applyBorder="0" applyAlignment="0" applyProtection="0"/>
    <xf numFmtId="167" fontId="7" fillId="0" borderId="0" applyFill="0" applyBorder="0" applyProtection="0">
      <alignment horizontal="right"/>
    </xf>
    <xf numFmtId="49" fontId="7" fillId="0" borderId="0" applyFill="0" applyBorder="0" applyProtection="0"/>
  </cellStyleXfs>
  <cellXfs count="55">
    <xf numFmtId="0" fontId="0" fillId="0" borderId="0" xfId="0"/>
    <xf numFmtId="49" fontId="11" fillId="0" borderId="0" xfId="0" applyNumberFormat="1" applyFont="1"/>
    <xf numFmtId="49" fontId="7" fillId="0" borderId="0" xfId="5">
      <alignment horizontal="center" vertical="center"/>
    </xf>
    <xf numFmtId="49" fontId="7" fillId="0" borderId="0" xfId="6">
      <alignment horizontal="left" vertical="center" wrapText="1"/>
    </xf>
    <xf numFmtId="4" fontId="7" fillId="0" borderId="0" xfId="9">
      <alignment horizontal="right" vertical="center"/>
    </xf>
    <xf numFmtId="49" fontId="8" fillId="0" borderId="0" xfId="8">
      <alignment horizontal="left" vertical="center"/>
    </xf>
    <xf numFmtId="164" fontId="7" fillId="0" borderId="0" xfId="11">
      <alignment vertical="center"/>
    </xf>
    <xf numFmtId="164" fontId="6" fillId="0" borderId="0" xfId="13">
      <alignment vertical="center"/>
    </xf>
    <xf numFmtId="49" fontId="7" fillId="0" borderId="0" xfId="5" applyFont="1">
      <alignment horizontal="center" vertical="center"/>
    </xf>
    <xf numFmtId="49" fontId="7" fillId="0" borderId="0" xfId="6" applyFont="1">
      <alignment horizontal="left" vertical="center" wrapText="1"/>
    </xf>
    <xf numFmtId="49" fontId="10" fillId="0" borderId="0" xfId="8" applyFont="1">
      <alignment horizontal="left" vertical="center"/>
    </xf>
    <xf numFmtId="0" fontId="1" fillId="0" borderId="0" xfId="0" applyFont="1"/>
    <xf numFmtId="164" fontId="7" fillId="0" borderId="0" xfId="11" applyFont="1">
      <alignment vertical="center"/>
    </xf>
    <xf numFmtId="164" fontId="7" fillId="0" borderId="0" xfId="13" applyFont="1">
      <alignment vertical="center"/>
    </xf>
    <xf numFmtId="4" fontId="7" fillId="0" borderId="0" xfId="9" applyFont="1">
      <alignment horizontal="right" vertical="center"/>
    </xf>
    <xf numFmtId="49" fontId="11" fillId="0" borderId="1" xfId="0" applyNumberFormat="1" applyFont="1" applyBorder="1"/>
    <xf numFmtId="49" fontId="7" fillId="0" borderId="1" xfId="5" applyFont="1" applyBorder="1">
      <alignment horizontal="center" vertical="center"/>
    </xf>
    <xf numFmtId="49" fontId="7" fillId="0" borderId="1" xfId="6" applyFont="1" applyBorder="1">
      <alignment horizontal="left" vertical="center" wrapText="1"/>
    </xf>
    <xf numFmtId="49" fontId="10" fillId="0" borderId="1" xfId="8" applyFont="1" applyBorder="1">
      <alignment horizontal="left" vertical="center"/>
    </xf>
    <xf numFmtId="0" fontId="1" fillId="0" borderId="1" xfId="0" applyFont="1" applyBorder="1"/>
    <xf numFmtId="164" fontId="7" fillId="0" borderId="1" xfId="11" applyFont="1" applyBorder="1">
      <alignment vertical="center"/>
    </xf>
    <xf numFmtId="164" fontId="7" fillId="0" borderId="1" xfId="13" applyFont="1" applyBorder="1">
      <alignment vertical="center"/>
    </xf>
    <xf numFmtId="4" fontId="7" fillId="0" borderId="1" xfId="9" applyFont="1" applyBorder="1">
      <alignment horizontal="right" vertical="center"/>
    </xf>
    <xf numFmtId="49" fontId="7" fillId="0" borderId="1" xfId="5" applyBorder="1">
      <alignment horizontal="center" vertical="center"/>
    </xf>
    <xf numFmtId="49" fontId="7" fillId="0" borderId="1" xfId="6" applyBorder="1">
      <alignment horizontal="left" vertical="center" wrapText="1"/>
    </xf>
    <xf numFmtId="49" fontId="8" fillId="0" borderId="1" xfId="8" applyBorder="1">
      <alignment horizontal="left" vertical="center"/>
    </xf>
    <xf numFmtId="0" fontId="0" fillId="0" borderId="1" xfId="0" applyBorder="1"/>
    <xf numFmtId="164" fontId="7" fillId="0" borderId="1" xfId="11" applyBorder="1">
      <alignment vertical="center"/>
    </xf>
    <xf numFmtId="164" fontId="6" fillId="0" borderId="1" xfId="13" applyBorder="1">
      <alignment vertical="center"/>
    </xf>
    <xf numFmtId="4" fontId="7" fillId="0" borderId="1" xfId="9" applyBorder="1">
      <alignment horizontal="right" vertical="center"/>
    </xf>
    <xf numFmtId="165" fontId="8" fillId="0" borderId="0" xfId="12">
      <alignment horizontal="right" vertical="center"/>
    </xf>
    <xf numFmtId="164" fontId="6" fillId="0" borderId="2" xfId="13" applyBorder="1">
      <alignment vertical="center"/>
    </xf>
    <xf numFmtId="164" fontId="6" fillId="0" borderId="4" xfId="13" applyBorder="1">
      <alignment vertical="center"/>
    </xf>
    <xf numFmtId="4" fontId="7" fillId="0" borderId="3" xfId="9" applyBorder="1">
      <alignment horizontal="right" vertical="center"/>
    </xf>
    <xf numFmtId="49" fontId="13" fillId="0" borderId="0" xfId="21" applyFont="1"/>
    <xf numFmtId="167" fontId="7" fillId="0" borderId="0" xfId="20">
      <alignment horizontal="right"/>
    </xf>
    <xf numFmtId="49" fontId="13" fillId="0" borderId="2" xfId="21" applyFont="1" applyBorder="1"/>
    <xf numFmtId="49" fontId="7" fillId="0" borderId="2" xfId="6" applyBorder="1">
      <alignment horizontal="left" vertical="center" wrapText="1"/>
    </xf>
    <xf numFmtId="49" fontId="8" fillId="0" borderId="2" xfId="8" applyBorder="1">
      <alignment horizontal="left" vertical="center"/>
    </xf>
    <xf numFmtId="0" fontId="0" fillId="0" borderId="2" xfId="0" applyBorder="1"/>
    <xf numFmtId="164" fontId="7" fillId="0" borderId="2" xfId="11" applyBorder="1">
      <alignment vertical="center"/>
    </xf>
    <xf numFmtId="4" fontId="7" fillId="0" borderId="2" xfId="9" applyBorder="1">
      <alignment horizontal="right" vertical="center"/>
    </xf>
    <xf numFmtId="0" fontId="14" fillId="0" borderId="0" xfId="0" applyFont="1"/>
    <xf numFmtId="4" fontId="0" fillId="0" borderId="2" xfId="0" applyNumberFormat="1" applyBorder="1"/>
    <xf numFmtId="167" fontId="7" fillId="0" borderId="2" xfId="20" applyBorder="1">
      <alignment horizontal="right"/>
    </xf>
    <xf numFmtId="0" fontId="0" fillId="0" borderId="4" xfId="0" applyBorder="1"/>
    <xf numFmtId="49" fontId="9" fillId="0" borderId="2" xfId="14" applyBorder="1">
      <alignment horizontal="left"/>
    </xf>
    <xf numFmtId="49" fontId="15" fillId="0" borderId="0" xfId="0" applyNumberFormat="1" applyFont="1" applyAlignment="1"/>
    <xf numFmtId="49" fontId="7" fillId="0" borderId="3" xfId="7" applyBorder="1">
      <alignment horizontal="left" vertical="center" wrapText="1"/>
    </xf>
    <xf numFmtId="49" fontId="11" fillId="0" borderId="3" xfId="0" applyNumberFormat="1" applyFont="1" applyBorder="1"/>
    <xf numFmtId="49" fontId="7" fillId="0" borderId="0" xfId="7">
      <alignment horizontal="left" vertical="center" wrapText="1"/>
    </xf>
    <xf numFmtId="49" fontId="11" fillId="0" borderId="0" xfId="0" applyNumberFormat="1" applyFont="1"/>
    <xf numFmtId="49" fontId="3" fillId="0" borderId="0" xfId="2">
      <alignment horizontal="left" vertical="center" wrapText="1"/>
    </xf>
    <xf numFmtId="49" fontId="12" fillId="0" borderId="0" xfId="1" applyFont="1">
      <alignment horizontal="left" vertical="center" wrapText="1"/>
    </xf>
    <xf numFmtId="49" fontId="4" fillId="0" borderId="0" xfId="3" applyFont="1">
      <alignment horizontal="center" vertical="center" wrapText="1"/>
    </xf>
  </cellXfs>
  <cellStyles count="22">
    <cellStyle name="Antet" xfId="1"/>
    <cellStyle name="Cantitate" xfId="11"/>
    <cellStyle name="CapTabel" xfId="4"/>
    <cellStyle name="Cod" xfId="6"/>
    <cellStyle name="Denum" xfId="8"/>
    <cellStyle name="Denumire" xfId="7"/>
    <cellStyle name="DenumireRaport" xfId="2"/>
    <cellStyle name="Greutate" xfId="16"/>
    <cellStyle name="kmparcurs" xfId="18"/>
    <cellStyle name="Normal" xfId="0" builtinId="0"/>
    <cellStyle name="NrCrt" xfId="5"/>
    <cellStyle name="orefunc" xfId="19"/>
    <cellStyle name="Pondere" xfId="10"/>
    <cellStyle name="PretUnitar" xfId="13"/>
    <cellStyle name="Procente" xfId="20"/>
    <cellStyle name="Recapit" xfId="14"/>
    <cellStyle name="RecCoef" xfId="15"/>
    <cellStyle name="Sporuri" xfId="12"/>
    <cellStyle name="Text" xfId="21"/>
    <cellStyle name="TitluRap" xfId="3"/>
    <cellStyle name="tonaj" xfId="17"/>
    <cellStyle name="Valoare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1"/>
  <sheetViews>
    <sheetView tabSelected="1" topLeftCell="A296" zoomScale="130" zoomScaleNormal="130" workbookViewId="0">
      <selection activeCell="I290" sqref="I290"/>
    </sheetView>
  </sheetViews>
  <sheetFormatPr defaultRowHeight="15" outlineLevelCol="1" x14ac:dyDescent="0.25"/>
  <cols>
    <col min="1" max="1" width="0.42578125" style="1" customWidth="1"/>
    <col min="2" max="2" width="5.5703125" style="2" customWidth="1"/>
    <col min="3" max="3" width="25.140625" style="3" customWidth="1"/>
    <col min="4" max="4" width="14.42578125" style="5" customWidth="1"/>
    <col min="5" max="5" width="14.42578125" customWidth="1"/>
    <col min="7" max="7" width="15.5703125" style="6" customWidth="1"/>
    <col min="8" max="8" width="14.42578125" style="7" customWidth="1"/>
    <col min="9" max="9" width="14.42578125" style="4" customWidth="1"/>
    <col min="10" max="10" width="0" hidden="1" customWidth="1" outlineLevel="1"/>
    <col min="11" max="19" width="0" style="4" hidden="1" customWidth="1" outlineLevel="1"/>
    <col min="20" max="20" width="8.7109375" collapsed="1"/>
  </cols>
  <sheetData>
    <row r="1" spans="1:10" ht="23.1" customHeight="1" x14ac:dyDescent="0.25">
      <c r="A1" s="52" t="s">
        <v>0</v>
      </c>
      <c r="B1" s="51"/>
      <c r="C1" s="51"/>
      <c r="D1" s="51"/>
      <c r="J1">
        <v>1</v>
      </c>
    </row>
    <row r="2" spans="1:10" x14ac:dyDescent="0.25">
      <c r="A2" s="53" t="s">
        <v>1</v>
      </c>
      <c r="B2" s="51"/>
      <c r="C2" s="51"/>
      <c r="D2" s="51"/>
      <c r="E2" s="51"/>
      <c r="F2" s="51"/>
      <c r="G2" s="51"/>
      <c r="H2" s="51"/>
      <c r="I2" s="51"/>
    </row>
    <row r="3" spans="1:10" ht="39.950000000000003" customHeight="1" x14ac:dyDescent="0.25">
      <c r="A3" s="54" t="s">
        <v>2</v>
      </c>
      <c r="B3" s="51"/>
      <c r="C3" s="51"/>
      <c r="D3" s="51"/>
      <c r="E3" s="51"/>
      <c r="F3" s="51"/>
      <c r="G3" s="51"/>
      <c r="H3" s="51"/>
      <c r="I3" s="51"/>
    </row>
    <row r="4" spans="1:10" x14ac:dyDescent="0.25">
      <c r="A4" s="53" t="s">
        <v>3</v>
      </c>
      <c r="B4" s="51"/>
      <c r="C4" s="51"/>
      <c r="D4" s="51"/>
      <c r="E4" s="51"/>
      <c r="F4" s="51"/>
      <c r="G4" s="51"/>
      <c r="H4" s="51"/>
      <c r="I4" s="51"/>
    </row>
    <row r="5" spans="1:10" ht="15.75" thickBot="1" x14ac:dyDescent="0.3">
      <c r="A5" s="53" t="s">
        <v>5</v>
      </c>
      <c r="B5" s="51"/>
      <c r="C5" s="51"/>
      <c r="D5" s="51"/>
      <c r="E5" s="51"/>
      <c r="F5" s="51"/>
      <c r="G5" s="51"/>
      <c r="H5" s="51"/>
      <c r="I5" s="4" t="s">
        <v>4</v>
      </c>
    </row>
    <row r="6" spans="1:10" x14ac:dyDescent="0.25">
      <c r="A6" s="15"/>
      <c r="B6" s="16" t="s">
        <v>6</v>
      </c>
      <c r="C6" s="17" t="s">
        <v>7</v>
      </c>
      <c r="D6" s="18" t="s">
        <v>8</v>
      </c>
      <c r="E6" s="19"/>
      <c r="F6" s="19"/>
      <c r="G6" s="20" t="s">
        <v>9</v>
      </c>
      <c r="H6" s="21" t="s">
        <v>10</v>
      </c>
      <c r="I6" s="22" t="s">
        <v>11</v>
      </c>
    </row>
    <row r="7" spans="1:10" x14ac:dyDescent="0.25">
      <c r="B7" s="8" t="s">
        <v>12</v>
      </c>
      <c r="C7" s="9" t="s">
        <v>13</v>
      </c>
      <c r="D7" s="10"/>
      <c r="E7" s="11"/>
      <c r="F7" s="11"/>
      <c r="G7" s="12"/>
      <c r="H7" s="13" t="s">
        <v>14</v>
      </c>
      <c r="I7" s="14"/>
    </row>
    <row r="8" spans="1:10" x14ac:dyDescent="0.25">
      <c r="B8" s="8"/>
      <c r="C8" s="9" t="s">
        <v>15</v>
      </c>
      <c r="D8" s="10"/>
      <c r="E8" s="11"/>
      <c r="F8" s="11"/>
      <c r="G8" s="12"/>
      <c r="H8" s="13" t="s">
        <v>16</v>
      </c>
      <c r="I8" s="14"/>
    </row>
    <row r="9" spans="1:10" x14ac:dyDescent="0.25">
      <c r="B9" s="8"/>
      <c r="C9" s="9" t="s">
        <v>17</v>
      </c>
      <c r="D9" s="10"/>
      <c r="E9" s="11"/>
      <c r="F9" s="11"/>
      <c r="G9" s="12"/>
      <c r="H9" s="13" t="s">
        <v>18</v>
      </c>
      <c r="I9" s="14"/>
    </row>
    <row r="10" spans="1:10" x14ac:dyDescent="0.25">
      <c r="B10" s="8"/>
      <c r="C10" s="9" t="s">
        <v>19</v>
      </c>
      <c r="D10" s="10"/>
      <c r="E10" s="11"/>
      <c r="F10" s="11"/>
      <c r="G10" s="12"/>
      <c r="H10" s="13" t="s">
        <v>20</v>
      </c>
      <c r="I10" s="14"/>
    </row>
    <row r="11" spans="1:10" ht="15.75" thickBot="1" x14ac:dyDescent="0.3">
      <c r="B11" s="8"/>
      <c r="C11" s="9" t="s">
        <v>21</v>
      </c>
      <c r="D11" s="10"/>
      <c r="E11" s="11"/>
      <c r="F11" s="11"/>
      <c r="G11" s="12"/>
      <c r="H11" s="13" t="s">
        <v>22</v>
      </c>
      <c r="I11" s="14"/>
    </row>
    <row r="12" spans="1:10" x14ac:dyDescent="0.25">
      <c r="A12" s="15"/>
      <c r="B12" s="23">
        <v>1</v>
      </c>
      <c r="C12" s="24" t="s">
        <v>23</v>
      </c>
      <c r="D12" s="25" t="s">
        <v>24</v>
      </c>
      <c r="E12" s="26"/>
      <c r="F12" s="26"/>
      <c r="G12" s="27">
        <v>19.3</v>
      </c>
      <c r="H12" s="28"/>
      <c r="I12" s="29"/>
    </row>
    <row r="13" spans="1:10" x14ac:dyDescent="0.25">
      <c r="D13" s="30" t="str">
        <f>SUBSTITUTE("Sp.mat: 0.00%",".",IF(VALUE("1.2")=1.2,".",","),2)</f>
        <v>Sp.mat: 0.00%</v>
      </c>
      <c r="F13" s="30" t="str">
        <f>SUBSTITUTE("Sp.man: 0.00%",".",IF(VALUE("1.2")=1.2,".",","),2)</f>
        <v>Sp.man: 0.00%</v>
      </c>
      <c r="G13" s="30" t="str">
        <f>SUBSTITUTE("Sp.uti: 0.00%",".",IF(VALUE("1.2")=1.2,".",","),2)</f>
        <v>Sp.uti: 0.00%</v>
      </c>
    </row>
    <row r="14" spans="1:10" x14ac:dyDescent="0.25">
      <c r="A14" s="50" t="s">
        <v>25</v>
      </c>
      <c r="B14" s="51"/>
      <c r="C14" s="51"/>
      <c r="D14" s="51"/>
      <c r="E14" s="51"/>
      <c r="F14" s="51"/>
      <c r="G14" s="51"/>
    </row>
    <row r="15" spans="1:10" x14ac:dyDescent="0.25">
      <c r="A15" s="51"/>
      <c r="B15" s="51"/>
      <c r="C15" s="51"/>
      <c r="D15" s="51"/>
      <c r="E15" s="51"/>
      <c r="F15" s="51"/>
      <c r="G15" s="51"/>
    </row>
    <row r="16" spans="1:10" x14ac:dyDescent="0.25">
      <c r="A16" s="48" t="s">
        <v>26</v>
      </c>
      <c r="B16" s="49"/>
      <c r="C16" s="49"/>
      <c r="D16" s="49"/>
      <c r="E16" s="49"/>
      <c r="F16" s="49"/>
      <c r="G16" s="49"/>
      <c r="H16" s="32"/>
      <c r="I16" s="33"/>
    </row>
    <row r="17" spans="1:9" x14ac:dyDescent="0.25">
      <c r="B17" s="2">
        <v>2</v>
      </c>
      <c r="C17" s="3" t="s">
        <v>27</v>
      </c>
      <c r="D17" s="5" t="s">
        <v>28</v>
      </c>
      <c r="G17" s="6">
        <v>610</v>
      </c>
    </row>
    <row r="18" spans="1:9" x14ac:dyDescent="0.25">
      <c r="D18" s="30" t="str">
        <f>SUBSTITUTE("Sp.mat: 0.00%",".",IF(VALUE("1.2")=1.2,".",","),2)</f>
        <v>Sp.mat: 0.00%</v>
      </c>
      <c r="F18" s="30" t="str">
        <f>SUBSTITUTE("Sp.man: 0.00%",".",IF(VALUE("1.2")=1.2,".",","),2)</f>
        <v>Sp.man: 0.00%</v>
      </c>
      <c r="G18" s="30" t="str">
        <f>SUBSTITUTE("Sp.uti: 0.00%",".",IF(VALUE("1.2")=1.2,".",","),2)</f>
        <v>Sp.uti: 0.00%</v>
      </c>
    </row>
    <row r="19" spans="1:9" x14ac:dyDescent="0.25">
      <c r="A19" s="50" t="s">
        <v>29</v>
      </c>
      <c r="B19" s="51"/>
      <c r="C19" s="51"/>
      <c r="D19" s="51"/>
      <c r="E19" s="51"/>
      <c r="F19" s="51"/>
      <c r="G19" s="51"/>
    </row>
    <row r="20" spans="1:9" x14ac:dyDescent="0.25">
      <c r="A20" s="51"/>
      <c r="B20" s="51"/>
      <c r="C20" s="51"/>
      <c r="D20" s="51"/>
      <c r="E20" s="51"/>
      <c r="F20" s="51"/>
      <c r="G20" s="51"/>
    </row>
    <row r="21" spans="1:9" x14ac:dyDescent="0.25">
      <c r="A21" s="48" t="s">
        <v>26</v>
      </c>
      <c r="B21" s="49"/>
      <c r="C21" s="49"/>
      <c r="D21" s="49"/>
      <c r="E21" s="49"/>
      <c r="F21" s="49"/>
      <c r="G21" s="49"/>
      <c r="H21" s="32"/>
      <c r="I21" s="33"/>
    </row>
    <row r="22" spans="1:9" x14ac:dyDescent="0.25">
      <c r="B22" s="2">
        <v>3</v>
      </c>
      <c r="C22" s="3" t="s">
        <v>30</v>
      </c>
      <c r="D22" s="5" t="s">
        <v>31</v>
      </c>
      <c r="G22" s="6">
        <v>180</v>
      </c>
    </row>
    <row r="23" spans="1:9" x14ac:dyDescent="0.25">
      <c r="D23" s="30" t="str">
        <f>SUBSTITUTE("Sp.mat: 0.00%",".",IF(VALUE("1.2")=1.2,".",","),2)</f>
        <v>Sp.mat: 0.00%</v>
      </c>
      <c r="F23" s="30" t="str">
        <f>SUBSTITUTE("Sp.man: 0.00%",".",IF(VALUE("1.2")=1.2,".",","),2)</f>
        <v>Sp.man: 0.00%</v>
      </c>
      <c r="G23" s="30" t="str">
        <f>SUBSTITUTE("Sp.uti: 0.00%",".",IF(VALUE("1.2")=1.2,".",","),2)</f>
        <v>Sp.uti: 0.00%</v>
      </c>
    </row>
    <row r="24" spans="1:9" x14ac:dyDescent="0.25">
      <c r="A24" s="50" t="s">
        <v>32</v>
      </c>
      <c r="B24" s="51"/>
      <c r="C24" s="51"/>
      <c r="D24" s="51"/>
      <c r="E24" s="51"/>
      <c r="F24" s="51"/>
      <c r="G24" s="51"/>
    </row>
    <row r="25" spans="1:9" x14ac:dyDescent="0.25">
      <c r="A25" s="51"/>
      <c r="B25" s="51"/>
      <c r="C25" s="51"/>
      <c r="D25" s="51"/>
      <c r="E25" s="51"/>
      <c r="F25" s="51"/>
      <c r="G25" s="51"/>
    </row>
    <row r="26" spans="1:9" x14ac:dyDescent="0.25">
      <c r="A26" s="48" t="s">
        <v>26</v>
      </c>
      <c r="B26" s="49"/>
      <c r="C26" s="49"/>
      <c r="D26" s="49"/>
      <c r="E26" s="49"/>
      <c r="F26" s="49"/>
      <c r="G26" s="49"/>
      <c r="H26" s="32"/>
      <c r="I26" s="33"/>
    </row>
    <row r="27" spans="1:9" x14ac:dyDescent="0.25">
      <c r="B27" s="2">
        <v>4</v>
      </c>
      <c r="C27" s="3" t="s">
        <v>33</v>
      </c>
      <c r="D27" s="5" t="s">
        <v>34</v>
      </c>
      <c r="G27" s="6">
        <v>10</v>
      </c>
    </row>
    <row r="28" spans="1:9" x14ac:dyDescent="0.25">
      <c r="D28" s="30" t="str">
        <f>SUBSTITUTE("Sp.mat: 0.00%",".",IF(VALUE("1.2")=1.2,".",","),2)</f>
        <v>Sp.mat: 0.00%</v>
      </c>
      <c r="F28" s="30" t="str">
        <f>SUBSTITUTE("Sp.man: 0.00%",".",IF(VALUE("1.2")=1.2,".",","),2)</f>
        <v>Sp.man: 0.00%</v>
      </c>
      <c r="G28" s="30" t="str">
        <f>SUBSTITUTE("Sp.uti: 0.00%",".",IF(VALUE("1.2")=1.2,".",","),2)</f>
        <v>Sp.uti: 0.00%</v>
      </c>
    </row>
    <row r="29" spans="1:9" x14ac:dyDescent="0.25">
      <c r="A29" s="50" t="s">
        <v>35</v>
      </c>
      <c r="B29" s="51"/>
      <c r="C29" s="51"/>
      <c r="D29" s="51"/>
      <c r="E29" s="51"/>
      <c r="F29" s="51"/>
      <c r="G29" s="51"/>
    </row>
    <row r="30" spans="1:9" x14ac:dyDescent="0.25">
      <c r="A30" s="51"/>
      <c r="B30" s="51"/>
      <c r="C30" s="51"/>
      <c r="D30" s="51"/>
      <c r="E30" s="51"/>
      <c r="F30" s="51"/>
      <c r="G30" s="51"/>
    </row>
    <row r="31" spans="1:9" x14ac:dyDescent="0.25">
      <c r="A31" s="48" t="s">
        <v>26</v>
      </c>
      <c r="B31" s="49"/>
      <c r="C31" s="49"/>
      <c r="D31" s="49"/>
      <c r="E31" s="49"/>
      <c r="F31" s="49"/>
      <c r="G31" s="49"/>
      <c r="H31" s="32"/>
      <c r="I31" s="33"/>
    </row>
    <row r="32" spans="1:9" x14ac:dyDescent="0.25">
      <c r="B32" s="2">
        <v>5</v>
      </c>
      <c r="C32" s="3" t="s">
        <v>36</v>
      </c>
      <c r="D32" s="5" t="s">
        <v>34</v>
      </c>
      <c r="G32" s="6">
        <v>10</v>
      </c>
    </row>
    <row r="33" spans="1:9" x14ac:dyDescent="0.25">
      <c r="D33" s="30" t="str">
        <f>SUBSTITUTE("Sp.mat: 0.00%",".",IF(VALUE("1.2")=1.2,".",","),2)</f>
        <v>Sp.mat: 0.00%</v>
      </c>
      <c r="F33" s="30" t="str">
        <f>SUBSTITUTE("Sp.man: 0.00%",".",IF(VALUE("1.2")=1.2,".",","),2)</f>
        <v>Sp.man: 0.00%</v>
      </c>
      <c r="G33" s="30" t="str">
        <f>SUBSTITUTE("Sp.uti: 0.00%",".",IF(VALUE("1.2")=1.2,".",","),2)</f>
        <v>Sp.uti: 0.00%</v>
      </c>
    </row>
    <row r="34" spans="1:9" x14ac:dyDescent="0.25">
      <c r="A34" s="50" t="s">
        <v>37</v>
      </c>
      <c r="B34" s="51"/>
      <c r="C34" s="51"/>
      <c r="D34" s="51"/>
      <c r="E34" s="51"/>
      <c r="F34" s="51"/>
      <c r="G34" s="51"/>
    </row>
    <row r="35" spans="1:9" x14ac:dyDescent="0.25">
      <c r="A35" s="51"/>
      <c r="B35" s="51"/>
      <c r="C35" s="51"/>
      <c r="D35" s="51"/>
      <c r="E35" s="51"/>
      <c r="F35" s="51"/>
      <c r="G35" s="51"/>
    </row>
    <row r="36" spans="1:9" x14ac:dyDescent="0.25">
      <c r="A36" s="48" t="s">
        <v>26</v>
      </c>
      <c r="B36" s="49"/>
      <c r="C36" s="49"/>
      <c r="D36" s="49"/>
      <c r="E36" s="49"/>
      <c r="F36" s="49"/>
      <c r="G36" s="49"/>
      <c r="H36" s="32"/>
      <c r="I36" s="33"/>
    </row>
    <row r="37" spans="1:9" x14ac:dyDescent="0.25">
      <c r="B37" s="2">
        <v>6</v>
      </c>
      <c r="C37" s="3" t="s">
        <v>38</v>
      </c>
      <c r="D37" s="5" t="s">
        <v>24</v>
      </c>
      <c r="G37" s="6">
        <v>36.24</v>
      </c>
    </row>
    <row r="38" spans="1:9" x14ac:dyDescent="0.25">
      <c r="D38" s="30" t="str">
        <f>SUBSTITUTE("Sp.mat: 0.00%",".",IF(VALUE("1.2")=1.2,".",","),2)</f>
        <v>Sp.mat: 0.00%</v>
      </c>
      <c r="F38" s="30" t="str">
        <f>SUBSTITUTE("Sp.man: 0.00%",".",IF(VALUE("1.2")=1.2,".",","),2)</f>
        <v>Sp.man: 0.00%</v>
      </c>
      <c r="G38" s="30" t="str">
        <f>SUBSTITUTE("Sp.uti: 0.00%",".",IF(VALUE("1.2")=1.2,".",","),2)</f>
        <v>Sp.uti: 0.00%</v>
      </c>
    </row>
    <row r="39" spans="1:9" x14ac:dyDescent="0.25">
      <c r="A39" s="50" t="s">
        <v>39</v>
      </c>
      <c r="B39" s="51"/>
      <c r="C39" s="51"/>
      <c r="D39" s="51"/>
      <c r="E39" s="51"/>
      <c r="F39" s="51"/>
      <c r="G39" s="51"/>
    </row>
    <row r="40" spans="1:9" x14ac:dyDescent="0.25">
      <c r="A40" s="51"/>
      <c r="B40" s="51"/>
      <c r="C40" s="51"/>
      <c r="D40" s="51"/>
      <c r="E40" s="51"/>
      <c r="F40" s="51"/>
      <c r="G40" s="51"/>
    </row>
    <row r="41" spans="1:9" x14ac:dyDescent="0.25">
      <c r="A41" s="48" t="s">
        <v>26</v>
      </c>
      <c r="B41" s="49"/>
      <c r="C41" s="49"/>
      <c r="D41" s="49"/>
      <c r="E41" s="49"/>
      <c r="F41" s="49"/>
      <c r="G41" s="49"/>
      <c r="H41" s="32"/>
      <c r="I41" s="33"/>
    </row>
    <row r="42" spans="1:9" x14ac:dyDescent="0.25">
      <c r="B42" s="2">
        <v>7</v>
      </c>
      <c r="C42" s="3" t="s">
        <v>40</v>
      </c>
      <c r="D42" s="5" t="s">
        <v>41</v>
      </c>
      <c r="G42" s="6">
        <v>10</v>
      </c>
    </row>
    <row r="43" spans="1:9" x14ac:dyDescent="0.25">
      <c r="D43" s="30" t="str">
        <f>SUBSTITUTE("Sp.mat: 0.00%",".",IF(VALUE("1.2")=1.2,".",","),2)</f>
        <v>Sp.mat: 0.00%</v>
      </c>
      <c r="F43" s="30" t="str">
        <f>SUBSTITUTE("Sp.man: 0.00%",".",IF(VALUE("1.2")=1.2,".",","),2)</f>
        <v>Sp.man: 0.00%</v>
      </c>
      <c r="G43" s="30" t="str">
        <f>SUBSTITUTE("Sp.uti: 0.00%",".",IF(VALUE("1.2")=1.2,".",","),2)</f>
        <v>Sp.uti: 0.00%</v>
      </c>
    </row>
    <row r="44" spans="1:9" x14ac:dyDescent="0.25">
      <c r="A44" s="50" t="s">
        <v>42</v>
      </c>
      <c r="B44" s="51"/>
      <c r="C44" s="51"/>
      <c r="D44" s="51"/>
      <c r="E44" s="51"/>
      <c r="F44" s="51"/>
      <c r="G44" s="51"/>
    </row>
    <row r="45" spans="1:9" x14ac:dyDescent="0.25">
      <c r="A45" s="51"/>
      <c r="B45" s="51"/>
      <c r="C45" s="51"/>
      <c r="D45" s="51"/>
      <c r="E45" s="51"/>
      <c r="F45" s="51"/>
      <c r="G45" s="51"/>
    </row>
    <row r="46" spans="1:9" x14ac:dyDescent="0.25">
      <c r="A46" s="48" t="s">
        <v>26</v>
      </c>
      <c r="B46" s="49"/>
      <c r="C46" s="49"/>
      <c r="D46" s="49"/>
      <c r="E46" s="49"/>
      <c r="F46" s="49"/>
      <c r="G46" s="49"/>
      <c r="H46" s="32"/>
      <c r="I46" s="33"/>
    </row>
    <row r="47" spans="1:9" x14ac:dyDescent="0.25">
      <c r="B47" s="2">
        <v>8</v>
      </c>
      <c r="C47" s="3" t="s">
        <v>43</v>
      </c>
      <c r="D47" s="5" t="s">
        <v>41</v>
      </c>
      <c r="G47" s="6">
        <v>5</v>
      </c>
    </row>
    <row r="48" spans="1:9" x14ac:dyDescent="0.25">
      <c r="D48" s="30" t="str">
        <f>SUBSTITUTE("Sp.mat: 0.00%",".",IF(VALUE("1.2")=1.2,".",","),2)</f>
        <v>Sp.mat: 0.00%</v>
      </c>
      <c r="F48" s="30" t="str">
        <f>SUBSTITUTE("Sp.man: 0.00%",".",IF(VALUE("1.2")=1.2,".",","),2)</f>
        <v>Sp.man: 0.00%</v>
      </c>
      <c r="G48" s="30" t="str">
        <f>SUBSTITUTE("Sp.uti: 0.00%",".",IF(VALUE("1.2")=1.2,".",","),2)</f>
        <v>Sp.uti: 0.00%</v>
      </c>
    </row>
    <row r="49" spans="1:9" x14ac:dyDescent="0.25">
      <c r="A49" s="50" t="s">
        <v>44</v>
      </c>
      <c r="B49" s="51"/>
      <c r="C49" s="51"/>
      <c r="D49" s="51"/>
      <c r="E49" s="51"/>
      <c r="F49" s="51"/>
      <c r="G49" s="51"/>
    </row>
    <row r="50" spans="1:9" x14ac:dyDescent="0.25">
      <c r="A50" s="51"/>
      <c r="B50" s="51"/>
      <c r="C50" s="51"/>
      <c r="D50" s="51"/>
      <c r="E50" s="51"/>
      <c r="F50" s="51"/>
      <c r="G50" s="51"/>
    </row>
    <row r="51" spans="1:9" x14ac:dyDescent="0.25">
      <c r="A51" s="48" t="s">
        <v>26</v>
      </c>
      <c r="B51" s="49"/>
      <c r="C51" s="49"/>
      <c r="D51" s="49"/>
      <c r="E51" s="49"/>
      <c r="F51" s="49"/>
      <c r="G51" s="49"/>
      <c r="H51" s="32"/>
      <c r="I51" s="33"/>
    </row>
    <row r="52" spans="1:9" x14ac:dyDescent="0.25">
      <c r="B52" s="2">
        <v>9</v>
      </c>
      <c r="C52" s="3" t="s">
        <v>45</v>
      </c>
      <c r="D52" s="5" t="s">
        <v>46</v>
      </c>
      <c r="G52" s="6">
        <v>50</v>
      </c>
    </row>
    <row r="53" spans="1:9" x14ac:dyDescent="0.25">
      <c r="D53" s="30" t="str">
        <f>SUBSTITUTE("Sp.mat: 0.00%",".",IF(VALUE("1.2")=1.2,".",","),2)</f>
        <v>Sp.mat: 0.00%</v>
      </c>
      <c r="F53" s="30" t="str">
        <f>SUBSTITUTE("Sp.man: 0.00%",".",IF(VALUE("1.2")=1.2,".",","),2)</f>
        <v>Sp.man: 0.00%</v>
      </c>
      <c r="G53" s="30" t="str">
        <f>SUBSTITUTE("Sp.uti: 0.00%",".",IF(VALUE("1.2")=1.2,".",","),2)</f>
        <v>Sp.uti: 0.00%</v>
      </c>
    </row>
    <row r="54" spans="1:9" x14ac:dyDescent="0.25">
      <c r="A54" s="50" t="s">
        <v>47</v>
      </c>
      <c r="B54" s="51"/>
      <c r="C54" s="51"/>
      <c r="D54" s="51"/>
      <c r="E54" s="51"/>
      <c r="F54" s="51"/>
      <c r="G54" s="51"/>
    </row>
    <row r="55" spans="1:9" x14ac:dyDescent="0.25">
      <c r="A55" s="51"/>
      <c r="B55" s="51"/>
      <c r="C55" s="51"/>
      <c r="D55" s="51"/>
      <c r="E55" s="51"/>
      <c r="F55" s="51"/>
      <c r="G55" s="51"/>
    </row>
    <row r="56" spans="1:9" x14ac:dyDescent="0.25">
      <c r="A56" s="48" t="s">
        <v>26</v>
      </c>
      <c r="B56" s="49"/>
      <c r="C56" s="49"/>
      <c r="D56" s="49"/>
      <c r="E56" s="49"/>
      <c r="F56" s="49"/>
      <c r="G56" s="49"/>
      <c r="H56" s="32"/>
      <c r="I56" s="33"/>
    </row>
    <row r="57" spans="1:9" x14ac:dyDescent="0.25">
      <c r="B57" s="2">
        <v>10</v>
      </c>
      <c r="C57" s="3" t="s">
        <v>48</v>
      </c>
      <c r="D57" s="5" t="s">
        <v>28</v>
      </c>
      <c r="G57" s="6">
        <v>332.2</v>
      </c>
    </row>
    <row r="58" spans="1:9" x14ac:dyDescent="0.25">
      <c r="D58" s="30" t="str">
        <f>SUBSTITUTE("Sp.mat: 0.00%",".",IF(VALUE("1.2")=1.2,".",","),2)</f>
        <v>Sp.mat: 0.00%</v>
      </c>
      <c r="F58" s="30" t="str">
        <f>SUBSTITUTE("Sp.man: 0.00%",".",IF(VALUE("1.2")=1.2,".",","),2)</f>
        <v>Sp.man: 0.00%</v>
      </c>
      <c r="G58" s="30" t="str">
        <f>SUBSTITUTE("Sp.uti: 0.00%",".",IF(VALUE("1.2")=1.2,".",","),2)</f>
        <v>Sp.uti: 0.00%</v>
      </c>
    </row>
    <row r="59" spans="1:9" x14ac:dyDescent="0.25">
      <c r="A59" s="50" t="s">
        <v>49</v>
      </c>
      <c r="B59" s="51"/>
      <c r="C59" s="51"/>
      <c r="D59" s="51"/>
      <c r="E59" s="51"/>
      <c r="F59" s="51"/>
      <c r="G59" s="51"/>
    </row>
    <row r="60" spans="1:9" x14ac:dyDescent="0.25">
      <c r="A60" s="51"/>
      <c r="B60" s="51"/>
      <c r="C60" s="51"/>
      <c r="D60" s="51"/>
      <c r="E60" s="51"/>
      <c r="F60" s="51"/>
      <c r="G60" s="51"/>
    </row>
    <row r="61" spans="1:9" x14ac:dyDescent="0.25">
      <c r="A61" s="48" t="s">
        <v>50</v>
      </c>
      <c r="B61" s="49"/>
      <c r="C61" s="49"/>
      <c r="D61" s="49"/>
      <c r="E61" s="49"/>
      <c r="F61" s="49"/>
      <c r="G61" s="49"/>
      <c r="H61" s="32"/>
      <c r="I61" s="33"/>
    </row>
    <row r="62" spans="1:9" x14ac:dyDescent="0.25">
      <c r="B62" s="2">
        <v>11</v>
      </c>
      <c r="C62" s="3" t="s">
        <v>48</v>
      </c>
      <c r="D62" s="5" t="s">
        <v>28</v>
      </c>
      <c r="G62" s="6">
        <v>330</v>
      </c>
    </row>
    <row r="63" spans="1:9" x14ac:dyDescent="0.25">
      <c r="D63" s="30" t="str">
        <f>SUBSTITUTE("Sp.mat: 0.00%",".",IF(VALUE("1.2")=1.2,".",","),2)</f>
        <v>Sp.mat: 0.00%</v>
      </c>
      <c r="F63" s="30" t="str">
        <f>SUBSTITUTE("Sp.man: 0.00%",".",IF(VALUE("1.2")=1.2,".",","),2)</f>
        <v>Sp.man: 0.00%</v>
      </c>
      <c r="G63" s="30" t="str">
        <f>SUBSTITUTE("Sp.uti: 0.00%",".",IF(VALUE("1.2")=1.2,".",","),2)</f>
        <v>Sp.uti: 0.00%</v>
      </c>
    </row>
    <row r="64" spans="1:9" x14ac:dyDescent="0.25">
      <c r="A64" s="50" t="s">
        <v>51</v>
      </c>
      <c r="B64" s="51"/>
      <c r="C64" s="51"/>
      <c r="D64" s="51"/>
      <c r="E64" s="51"/>
      <c r="F64" s="51"/>
      <c r="G64" s="51"/>
    </row>
    <row r="65" spans="1:9" x14ac:dyDescent="0.25">
      <c r="A65" s="51"/>
      <c r="B65" s="51"/>
      <c r="C65" s="51"/>
      <c r="D65" s="51"/>
      <c r="E65" s="51"/>
      <c r="F65" s="51"/>
      <c r="G65" s="51"/>
    </row>
    <row r="66" spans="1:9" x14ac:dyDescent="0.25">
      <c r="A66" s="48" t="s">
        <v>52</v>
      </c>
      <c r="B66" s="49"/>
      <c r="C66" s="49"/>
      <c r="D66" s="49"/>
      <c r="E66" s="49"/>
      <c r="F66" s="49"/>
      <c r="G66" s="49"/>
      <c r="H66" s="32"/>
      <c r="I66" s="33"/>
    </row>
    <row r="67" spans="1:9" x14ac:dyDescent="0.25">
      <c r="B67" s="2">
        <v>12</v>
      </c>
      <c r="C67" s="3" t="s">
        <v>53</v>
      </c>
      <c r="D67" s="5" t="s">
        <v>31</v>
      </c>
      <c r="G67" s="6">
        <v>1560</v>
      </c>
    </row>
    <row r="68" spans="1:9" x14ac:dyDescent="0.25">
      <c r="D68" s="30" t="str">
        <f>SUBSTITUTE("Sp.mat: 0.00%",".",IF(VALUE("1.2")=1.2,".",","),2)</f>
        <v>Sp.mat: 0.00%</v>
      </c>
      <c r="F68" s="30" t="str">
        <f>SUBSTITUTE("Sp.man: 0.00%",".",IF(VALUE("1.2")=1.2,".",","),2)</f>
        <v>Sp.man: 0.00%</v>
      </c>
      <c r="G68" s="30" t="str">
        <f>SUBSTITUTE("Sp.uti: 0.00%",".",IF(VALUE("1.2")=1.2,".",","),2)</f>
        <v>Sp.uti: 0.00%</v>
      </c>
    </row>
    <row r="69" spans="1:9" x14ac:dyDescent="0.25">
      <c r="A69" s="50" t="s">
        <v>54</v>
      </c>
      <c r="B69" s="51"/>
      <c r="C69" s="51"/>
      <c r="D69" s="51"/>
      <c r="E69" s="51"/>
      <c r="F69" s="51"/>
      <c r="G69" s="51"/>
    </row>
    <row r="70" spans="1:9" x14ac:dyDescent="0.25">
      <c r="A70" s="51"/>
      <c r="B70" s="51"/>
      <c r="C70" s="51"/>
      <c r="D70" s="51"/>
      <c r="E70" s="51"/>
      <c r="F70" s="51"/>
      <c r="G70" s="51"/>
    </row>
    <row r="71" spans="1:9" x14ac:dyDescent="0.25">
      <c r="A71" s="48" t="s">
        <v>26</v>
      </c>
      <c r="B71" s="49"/>
      <c r="C71" s="49"/>
      <c r="D71" s="49"/>
      <c r="E71" s="49"/>
      <c r="F71" s="49"/>
      <c r="G71" s="49"/>
      <c r="H71" s="32"/>
      <c r="I71" s="33"/>
    </row>
    <row r="72" spans="1:9" x14ac:dyDescent="0.25">
      <c r="B72" s="2">
        <v>13</v>
      </c>
      <c r="C72" s="3" t="s">
        <v>55</v>
      </c>
      <c r="D72" s="5" t="s">
        <v>46</v>
      </c>
      <c r="G72" s="6">
        <v>30.5</v>
      </c>
    </row>
    <row r="73" spans="1:9" x14ac:dyDescent="0.25">
      <c r="D73" s="30" t="str">
        <f>SUBSTITUTE("Sp.mat: 0.00%",".",IF(VALUE("1.2")=1.2,".",","),2)</f>
        <v>Sp.mat: 0.00%</v>
      </c>
      <c r="F73" s="30" t="str">
        <f>SUBSTITUTE("Sp.man: 0.00%",".",IF(VALUE("1.2")=1.2,".",","),2)</f>
        <v>Sp.man: 0.00%</v>
      </c>
      <c r="G73" s="30" t="str">
        <f>SUBSTITUTE("Sp.uti: 0.00%",".",IF(VALUE("1.2")=1.2,".",","),2)</f>
        <v>Sp.uti: 0.00%</v>
      </c>
    </row>
    <row r="74" spans="1:9" x14ac:dyDescent="0.25">
      <c r="A74" s="50" t="s">
        <v>56</v>
      </c>
      <c r="B74" s="51"/>
      <c r="C74" s="51"/>
      <c r="D74" s="51"/>
      <c r="E74" s="51"/>
      <c r="F74" s="51"/>
      <c r="G74" s="51"/>
    </row>
    <row r="75" spans="1:9" x14ac:dyDescent="0.25">
      <c r="A75" s="51"/>
      <c r="B75" s="51"/>
      <c r="C75" s="51"/>
      <c r="D75" s="51"/>
      <c r="E75" s="51"/>
      <c r="F75" s="51"/>
      <c r="G75" s="51"/>
    </row>
    <row r="76" spans="1:9" x14ac:dyDescent="0.25">
      <c r="A76" s="48" t="s">
        <v>26</v>
      </c>
      <c r="B76" s="49"/>
      <c r="C76" s="49"/>
      <c r="D76" s="49"/>
      <c r="E76" s="49"/>
      <c r="F76" s="49"/>
      <c r="G76" s="49"/>
      <c r="H76" s="32"/>
      <c r="I76" s="33"/>
    </row>
    <row r="77" spans="1:9" x14ac:dyDescent="0.25">
      <c r="B77" s="2">
        <v>14</v>
      </c>
      <c r="C77" s="3" t="s">
        <v>55</v>
      </c>
      <c r="D77" s="5" t="s">
        <v>46</v>
      </c>
      <c r="G77" s="6">
        <v>30.5</v>
      </c>
    </row>
    <row r="78" spans="1:9" x14ac:dyDescent="0.25">
      <c r="D78" s="30" t="str">
        <f>SUBSTITUTE("Sp.mat: 0.00%",".",IF(VALUE("1.2")=1.2,".",","),2)</f>
        <v>Sp.mat: 0.00%</v>
      </c>
      <c r="F78" s="30" t="str">
        <f>SUBSTITUTE("Sp.man: 0.00%",".",IF(VALUE("1.2")=1.2,".",","),2)</f>
        <v>Sp.man: 0.00%</v>
      </c>
      <c r="G78" s="30" t="str">
        <f>SUBSTITUTE("Sp.uti: 0.00%",".",IF(VALUE("1.2")=1.2,".",","),2)</f>
        <v>Sp.uti: 0.00%</v>
      </c>
    </row>
    <row r="79" spans="1:9" x14ac:dyDescent="0.25">
      <c r="A79" s="50" t="s">
        <v>57</v>
      </c>
      <c r="B79" s="51"/>
      <c r="C79" s="51"/>
      <c r="D79" s="51"/>
      <c r="E79" s="51"/>
      <c r="F79" s="51"/>
      <c r="G79" s="51"/>
    </row>
    <row r="80" spans="1:9" x14ac:dyDescent="0.25">
      <c r="A80" s="51"/>
      <c r="B80" s="51"/>
      <c r="C80" s="51"/>
      <c r="D80" s="51"/>
      <c r="E80" s="51"/>
      <c r="F80" s="51"/>
      <c r="G80" s="51"/>
    </row>
    <row r="81" spans="1:9" x14ac:dyDescent="0.25">
      <c r="A81" s="48" t="s">
        <v>26</v>
      </c>
      <c r="B81" s="49"/>
      <c r="C81" s="49"/>
      <c r="D81" s="49"/>
      <c r="E81" s="49"/>
      <c r="F81" s="49"/>
      <c r="G81" s="49"/>
      <c r="H81" s="32"/>
      <c r="I81" s="33"/>
    </row>
    <row r="82" spans="1:9" x14ac:dyDescent="0.25">
      <c r="B82" s="2">
        <v>15</v>
      </c>
      <c r="C82" s="3" t="s">
        <v>55</v>
      </c>
      <c r="D82" s="5" t="s">
        <v>46</v>
      </c>
      <c r="G82" s="6">
        <v>77</v>
      </c>
    </row>
    <row r="83" spans="1:9" x14ac:dyDescent="0.25">
      <c r="D83" s="30" t="str">
        <f>SUBSTITUTE("Sp.mat: 0.00%",".",IF(VALUE("1.2")=1.2,".",","),2)</f>
        <v>Sp.mat: 0.00%</v>
      </c>
      <c r="F83" s="30" t="str">
        <f>SUBSTITUTE("Sp.man: 0.00%",".",IF(VALUE("1.2")=1.2,".",","),2)</f>
        <v>Sp.man: 0.00%</v>
      </c>
      <c r="G83" s="30" t="str">
        <f>SUBSTITUTE("Sp.uti: 0.00%",".",IF(VALUE("1.2")=1.2,".",","),2)</f>
        <v>Sp.uti: 0.00%</v>
      </c>
    </row>
    <row r="84" spans="1:9" x14ac:dyDescent="0.25">
      <c r="A84" s="50" t="s">
        <v>58</v>
      </c>
      <c r="B84" s="51"/>
      <c r="C84" s="51"/>
      <c r="D84" s="51"/>
      <c r="E84" s="51"/>
      <c r="F84" s="51"/>
      <c r="G84" s="51"/>
    </row>
    <row r="85" spans="1:9" x14ac:dyDescent="0.25">
      <c r="A85" s="51"/>
      <c r="B85" s="51"/>
      <c r="C85" s="51"/>
      <c r="D85" s="51"/>
      <c r="E85" s="51"/>
      <c r="F85" s="51"/>
      <c r="G85" s="51"/>
    </row>
    <row r="86" spans="1:9" x14ac:dyDescent="0.25">
      <c r="A86" s="48" t="s">
        <v>26</v>
      </c>
      <c r="B86" s="49"/>
      <c r="C86" s="49"/>
      <c r="D86" s="49"/>
      <c r="E86" s="49"/>
      <c r="F86" s="49"/>
      <c r="G86" s="49"/>
      <c r="H86" s="32"/>
      <c r="I86" s="33"/>
    </row>
    <row r="87" spans="1:9" x14ac:dyDescent="0.25">
      <c r="B87" s="2">
        <v>16</v>
      </c>
      <c r="C87" s="3" t="s">
        <v>55</v>
      </c>
      <c r="D87" s="5" t="s">
        <v>46</v>
      </c>
      <c r="G87" s="6">
        <v>82</v>
      </c>
    </row>
    <row r="88" spans="1:9" x14ac:dyDescent="0.25">
      <c r="D88" s="30" t="str">
        <f>SUBSTITUTE("Sp.mat: 0.00%",".",IF(VALUE("1.2")=1.2,".",","),2)</f>
        <v>Sp.mat: 0.00%</v>
      </c>
      <c r="F88" s="30" t="str">
        <f>SUBSTITUTE("Sp.man: 0.00%",".",IF(VALUE("1.2")=1.2,".",","),2)</f>
        <v>Sp.man: 0.00%</v>
      </c>
      <c r="G88" s="30" t="str">
        <f>SUBSTITUTE("Sp.uti: 0.00%",".",IF(VALUE("1.2")=1.2,".",","),2)</f>
        <v>Sp.uti: 0.00%</v>
      </c>
    </row>
    <row r="89" spans="1:9" x14ac:dyDescent="0.25">
      <c r="A89" s="50" t="s">
        <v>59</v>
      </c>
      <c r="B89" s="51"/>
      <c r="C89" s="51"/>
      <c r="D89" s="51"/>
      <c r="E89" s="51"/>
      <c r="F89" s="51"/>
      <c r="G89" s="51"/>
    </row>
    <row r="90" spans="1:9" x14ac:dyDescent="0.25">
      <c r="A90" s="51"/>
      <c r="B90" s="51"/>
      <c r="C90" s="51"/>
      <c r="D90" s="51"/>
      <c r="E90" s="51"/>
      <c r="F90" s="51"/>
      <c r="G90" s="51"/>
    </row>
    <row r="91" spans="1:9" x14ac:dyDescent="0.25">
      <c r="A91" s="48" t="s">
        <v>26</v>
      </c>
      <c r="B91" s="49"/>
      <c r="C91" s="49"/>
      <c r="D91" s="49"/>
      <c r="E91" s="49"/>
      <c r="F91" s="49"/>
      <c r="G91" s="49"/>
      <c r="H91" s="32"/>
      <c r="I91" s="33"/>
    </row>
    <row r="92" spans="1:9" x14ac:dyDescent="0.25">
      <c r="B92" s="2">
        <v>17</v>
      </c>
      <c r="C92" s="3" t="s">
        <v>55</v>
      </c>
      <c r="D92" s="5" t="s">
        <v>46</v>
      </c>
      <c r="G92" s="6">
        <v>18</v>
      </c>
    </row>
    <row r="93" spans="1:9" x14ac:dyDescent="0.25">
      <c r="D93" s="30" t="str">
        <f>SUBSTITUTE("Sp.mat: 0.00%",".",IF(VALUE("1.2")=1.2,".",","),2)</f>
        <v>Sp.mat: 0.00%</v>
      </c>
      <c r="F93" s="30" t="str">
        <f>SUBSTITUTE("Sp.man: 0.00%",".",IF(VALUE("1.2")=1.2,".",","),2)</f>
        <v>Sp.man: 0.00%</v>
      </c>
      <c r="G93" s="30" t="str">
        <f>SUBSTITUTE("Sp.uti: 0.00%",".",IF(VALUE("1.2")=1.2,".",","),2)</f>
        <v>Sp.uti: 0.00%</v>
      </c>
    </row>
    <row r="94" spans="1:9" x14ac:dyDescent="0.25">
      <c r="A94" s="50" t="s">
        <v>60</v>
      </c>
      <c r="B94" s="51"/>
      <c r="C94" s="51"/>
      <c r="D94" s="51"/>
      <c r="E94" s="51"/>
      <c r="F94" s="51"/>
      <c r="G94" s="51"/>
    </row>
    <row r="95" spans="1:9" x14ac:dyDescent="0.25">
      <c r="A95" s="51"/>
      <c r="B95" s="51"/>
      <c r="C95" s="51"/>
      <c r="D95" s="51"/>
      <c r="E95" s="51"/>
      <c r="F95" s="51"/>
      <c r="G95" s="51"/>
    </row>
    <row r="96" spans="1:9" x14ac:dyDescent="0.25">
      <c r="A96" s="48" t="s">
        <v>26</v>
      </c>
      <c r="B96" s="49"/>
      <c r="C96" s="49"/>
      <c r="D96" s="49"/>
      <c r="E96" s="49"/>
      <c r="F96" s="49"/>
      <c r="G96" s="49"/>
      <c r="H96" s="32"/>
      <c r="I96" s="33"/>
    </row>
    <row r="97" spans="1:9" x14ac:dyDescent="0.25">
      <c r="B97" s="2">
        <v>18</v>
      </c>
      <c r="C97" s="3" t="s">
        <v>55</v>
      </c>
      <c r="D97" s="5" t="s">
        <v>46</v>
      </c>
      <c r="G97" s="6">
        <v>18</v>
      </c>
    </row>
    <row r="98" spans="1:9" x14ac:dyDescent="0.25">
      <c r="D98" s="30" t="str">
        <f>SUBSTITUTE("Sp.mat: 0.00%",".",IF(VALUE("1.2")=1.2,".",","),2)</f>
        <v>Sp.mat: 0.00%</v>
      </c>
      <c r="F98" s="30" t="str">
        <f>SUBSTITUTE("Sp.man: 0.00%",".",IF(VALUE("1.2")=1.2,".",","),2)</f>
        <v>Sp.man: 0.00%</v>
      </c>
      <c r="G98" s="30" t="str">
        <f>SUBSTITUTE("Sp.uti: 0.00%",".",IF(VALUE("1.2")=1.2,".",","),2)</f>
        <v>Sp.uti: 0.00%</v>
      </c>
    </row>
    <row r="99" spans="1:9" x14ac:dyDescent="0.25">
      <c r="A99" s="50" t="s">
        <v>61</v>
      </c>
      <c r="B99" s="51"/>
      <c r="C99" s="51"/>
      <c r="D99" s="51"/>
      <c r="E99" s="51"/>
      <c r="F99" s="51"/>
      <c r="G99" s="51"/>
    </row>
    <row r="100" spans="1:9" x14ac:dyDescent="0.25">
      <c r="A100" s="51"/>
      <c r="B100" s="51"/>
      <c r="C100" s="51"/>
      <c r="D100" s="51"/>
      <c r="E100" s="51"/>
      <c r="F100" s="51"/>
      <c r="G100" s="51"/>
    </row>
    <row r="101" spans="1:9" x14ac:dyDescent="0.25">
      <c r="A101" s="48" t="s">
        <v>26</v>
      </c>
      <c r="B101" s="49"/>
      <c r="C101" s="49"/>
      <c r="D101" s="49"/>
      <c r="E101" s="49"/>
      <c r="F101" s="49"/>
      <c r="G101" s="49"/>
      <c r="H101" s="32"/>
      <c r="I101" s="33"/>
    </row>
    <row r="102" spans="1:9" x14ac:dyDescent="0.25">
      <c r="B102" s="2">
        <v>19</v>
      </c>
      <c r="C102" s="3" t="s">
        <v>55</v>
      </c>
      <c r="D102" s="5" t="s">
        <v>46</v>
      </c>
      <c r="G102" s="6">
        <v>38</v>
      </c>
    </row>
    <row r="103" spans="1:9" x14ac:dyDescent="0.25">
      <c r="D103" s="30" t="str">
        <f>SUBSTITUTE("Sp.mat: 0.00%",".",IF(VALUE("1.2")=1.2,".",","),2)</f>
        <v>Sp.mat: 0.00%</v>
      </c>
      <c r="F103" s="30" t="str">
        <f>SUBSTITUTE("Sp.man: 0.00%",".",IF(VALUE("1.2")=1.2,".",","),2)</f>
        <v>Sp.man: 0.00%</v>
      </c>
      <c r="G103" s="30" t="str">
        <f>SUBSTITUTE("Sp.uti: 0.00%",".",IF(VALUE("1.2")=1.2,".",","),2)</f>
        <v>Sp.uti: 0.00%</v>
      </c>
    </row>
    <row r="104" spans="1:9" x14ac:dyDescent="0.25">
      <c r="A104" s="50" t="s">
        <v>62</v>
      </c>
      <c r="B104" s="51"/>
      <c r="C104" s="51"/>
      <c r="D104" s="51"/>
      <c r="E104" s="51"/>
      <c r="F104" s="51"/>
      <c r="G104" s="51"/>
    </row>
    <row r="105" spans="1:9" x14ac:dyDescent="0.25">
      <c r="A105" s="51"/>
      <c r="B105" s="51"/>
      <c r="C105" s="51"/>
      <c r="D105" s="51"/>
      <c r="E105" s="51"/>
      <c r="F105" s="51"/>
      <c r="G105" s="51"/>
    </row>
    <row r="106" spans="1:9" x14ac:dyDescent="0.25">
      <c r="A106" s="48" t="s">
        <v>26</v>
      </c>
      <c r="B106" s="49"/>
      <c r="C106" s="49"/>
      <c r="D106" s="49"/>
      <c r="E106" s="49"/>
      <c r="F106" s="49"/>
      <c r="G106" s="49"/>
      <c r="H106" s="32"/>
      <c r="I106" s="33"/>
    </row>
    <row r="107" spans="1:9" x14ac:dyDescent="0.25">
      <c r="B107" s="2">
        <v>20</v>
      </c>
      <c r="C107" s="3" t="s">
        <v>55</v>
      </c>
      <c r="D107" s="5" t="s">
        <v>46</v>
      </c>
      <c r="G107" s="6">
        <v>82</v>
      </c>
    </row>
    <row r="108" spans="1:9" x14ac:dyDescent="0.25">
      <c r="D108" s="30" t="str">
        <f>SUBSTITUTE("Sp.mat: 0.00%",".",IF(VALUE("1.2")=1.2,".",","),2)</f>
        <v>Sp.mat: 0.00%</v>
      </c>
      <c r="F108" s="30" t="str">
        <f>SUBSTITUTE("Sp.man: 0.00%",".",IF(VALUE("1.2")=1.2,".",","),2)</f>
        <v>Sp.man: 0.00%</v>
      </c>
      <c r="G108" s="30" t="str">
        <f>SUBSTITUTE("Sp.uti: 0.00%",".",IF(VALUE("1.2")=1.2,".",","),2)</f>
        <v>Sp.uti: 0.00%</v>
      </c>
    </row>
    <row r="109" spans="1:9" x14ac:dyDescent="0.25">
      <c r="A109" s="50" t="s">
        <v>63</v>
      </c>
      <c r="B109" s="51"/>
      <c r="C109" s="51"/>
      <c r="D109" s="51"/>
      <c r="E109" s="51"/>
      <c r="F109" s="51"/>
      <c r="G109" s="51"/>
    </row>
    <row r="110" spans="1:9" x14ac:dyDescent="0.25">
      <c r="A110" s="51"/>
      <c r="B110" s="51"/>
      <c r="C110" s="51"/>
      <c r="D110" s="51"/>
      <c r="E110" s="51"/>
      <c r="F110" s="51"/>
      <c r="G110" s="51"/>
    </row>
    <row r="111" spans="1:9" x14ac:dyDescent="0.25">
      <c r="A111" s="48" t="s">
        <v>26</v>
      </c>
      <c r="B111" s="49"/>
      <c r="C111" s="49"/>
      <c r="D111" s="49"/>
      <c r="E111" s="49"/>
      <c r="F111" s="49"/>
      <c r="G111" s="49"/>
      <c r="H111" s="32"/>
      <c r="I111" s="33"/>
    </row>
    <row r="112" spans="1:9" x14ac:dyDescent="0.25">
      <c r="B112" s="2">
        <v>21</v>
      </c>
      <c r="C112" s="3" t="s">
        <v>64</v>
      </c>
      <c r="D112" s="5" t="s">
        <v>46</v>
      </c>
      <c r="G112" s="6">
        <v>60.4</v>
      </c>
    </row>
    <row r="113" spans="1:9" x14ac:dyDescent="0.25">
      <c r="D113" s="30" t="str">
        <f>SUBSTITUTE("Sp.mat: 0.00%",".",IF(VALUE("1.2")=1.2,".",","),2)</f>
        <v>Sp.mat: 0.00%</v>
      </c>
      <c r="F113" s="30" t="str">
        <f>SUBSTITUTE("Sp.man: 0.00%",".",IF(VALUE("1.2")=1.2,".",","),2)</f>
        <v>Sp.man: 0.00%</v>
      </c>
      <c r="G113" s="30" t="str">
        <f>SUBSTITUTE("Sp.uti: 0.00%",".",IF(VALUE("1.2")=1.2,".",","),2)</f>
        <v>Sp.uti: 0.00%</v>
      </c>
    </row>
    <row r="114" spans="1:9" x14ac:dyDescent="0.25">
      <c r="A114" s="50" t="s">
        <v>65</v>
      </c>
      <c r="B114" s="51"/>
      <c r="C114" s="51"/>
      <c r="D114" s="51"/>
      <c r="E114" s="51"/>
      <c r="F114" s="51"/>
      <c r="G114" s="51"/>
    </row>
    <row r="115" spans="1:9" x14ac:dyDescent="0.25">
      <c r="A115" s="51"/>
      <c r="B115" s="51"/>
      <c r="C115" s="51"/>
      <c r="D115" s="51"/>
      <c r="E115" s="51"/>
      <c r="F115" s="51"/>
      <c r="G115" s="51"/>
    </row>
    <row r="116" spans="1:9" x14ac:dyDescent="0.25">
      <c r="A116" s="48" t="s">
        <v>66</v>
      </c>
      <c r="B116" s="49"/>
      <c r="C116" s="49"/>
      <c r="D116" s="49"/>
      <c r="E116" s="49"/>
      <c r="F116" s="49"/>
      <c r="G116" s="49"/>
      <c r="H116" s="32"/>
      <c r="I116" s="33"/>
    </row>
    <row r="117" spans="1:9" x14ac:dyDescent="0.25">
      <c r="B117" s="2">
        <v>22</v>
      </c>
      <c r="C117" s="3" t="s">
        <v>67</v>
      </c>
      <c r="D117" s="5" t="s">
        <v>46</v>
      </c>
      <c r="G117" s="6">
        <v>25</v>
      </c>
    </row>
    <row r="118" spans="1:9" x14ac:dyDescent="0.25">
      <c r="D118" s="30" t="str">
        <f>SUBSTITUTE("Sp.mat: 0.00%",".",IF(VALUE("1.2")=1.2,".",","),2)</f>
        <v>Sp.mat: 0.00%</v>
      </c>
      <c r="F118" s="30" t="str">
        <f>SUBSTITUTE("Sp.man: 0.00%",".",IF(VALUE("1.2")=1.2,".",","),2)</f>
        <v>Sp.man: 0.00%</v>
      </c>
      <c r="G118" s="30" t="str">
        <f>SUBSTITUTE("Sp.uti: 0.00%",".",IF(VALUE("1.2")=1.2,".",","),2)</f>
        <v>Sp.uti: 0.00%</v>
      </c>
    </row>
    <row r="119" spans="1:9" x14ac:dyDescent="0.25">
      <c r="A119" s="50" t="s">
        <v>68</v>
      </c>
      <c r="B119" s="51"/>
      <c r="C119" s="51"/>
      <c r="D119" s="51"/>
      <c r="E119" s="51"/>
      <c r="F119" s="51"/>
      <c r="G119" s="51"/>
    </row>
    <row r="120" spans="1:9" x14ac:dyDescent="0.25">
      <c r="A120" s="51"/>
      <c r="B120" s="51"/>
      <c r="C120" s="51"/>
      <c r="D120" s="51"/>
      <c r="E120" s="51"/>
      <c r="F120" s="51"/>
      <c r="G120" s="51"/>
    </row>
    <row r="121" spans="1:9" x14ac:dyDescent="0.25">
      <c r="A121" s="48" t="s">
        <v>26</v>
      </c>
      <c r="B121" s="49"/>
      <c r="C121" s="49"/>
      <c r="D121" s="49"/>
      <c r="E121" s="49"/>
      <c r="F121" s="49"/>
      <c r="G121" s="49"/>
      <c r="H121" s="32"/>
      <c r="I121" s="33"/>
    </row>
    <row r="122" spans="1:9" x14ac:dyDescent="0.25">
      <c r="B122" s="2">
        <v>23</v>
      </c>
      <c r="C122" s="3" t="s">
        <v>69</v>
      </c>
      <c r="D122" s="5" t="s">
        <v>31</v>
      </c>
      <c r="G122" s="6">
        <v>600</v>
      </c>
    </row>
    <row r="123" spans="1:9" x14ac:dyDescent="0.25">
      <c r="D123" s="30" t="str">
        <f>SUBSTITUTE("Sp.mat: 0.00%",".",IF(VALUE("1.2")=1.2,".",","),2)</f>
        <v>Sp.mat: 0.00%</v>
      </c>
      <c r="F123" s="30" t="str">
        <f>SUBSTITUTE("Sp.man: 0.00%",".",IF(VALUE("1.2")=1.2,".",","),2)</f>
        <v>Sp.man: 0.00%</v>
      </c>
      <c r="G123" s="30" t="str">
        <f>SUBSTITUTE("Sp.uti: 0.00%",".",IF(VALUE("1.2")=1.2,".",","),2)</f>
        <v>Sp.uti: 0.00%</v>
      </c>
    </row>
    <row r="124" spans="1:9" x14ac:dyDescent="0.25">
      <c r="A124" s="50" t="s">
        <v>70</v>
      </c>
      <c r="B124" s="51"/>
      <c r="C124" s="51"/>
      <c r="D124" s="51"/>
      <c r="E124" s="51"/>
      <c r="F124" s="51"/>
      <c r="G124" s="51"/>
    </row>
    <row r="125" spans="1:9" x14ac:dyDescent="0.25">
      <c r="A125" s="51"/>
      <c r="B125" s="51"/>
      <c r="C125" s="51"/>
      <c r="D125" s="51"/>
      <c r="E125" s="51"/>
      <c r="F125" s="51"/>
      <c r="G125" s="51"/>
    </row>
    <row r="126" spans="1:9" x14ac:dyDescent="0.25">
      <c r="A126" s="48" t="s">
        <v>71</v>
      </c>
      <c r="B126" s="49"/>
      <c r="C126" s="49"/>
      <c r="D126" s="49"/>
      <c r="E126" s="49"/>
      <c r="F126" s="49"/>
      <c r="G126" s="49"/>
      <c r="H126" s="32"/>
      <c r="I126" s="33"/>
    </row>
    <row r="127" spans="1:9" x14ac:dyDescent="0.25">
      <c r="B127" s="2">
        <v>24</v>
      </c>
      <c r="C127" s="3" t="s">
        <v>72</v>
      </c>
      <c r="D127" s="5" t="s">
        <v>28</v>
      </c>
      <c r="G127" s="6">
        <v>18</v>
      </c>
    </row>
    <row r="128" spans="1:9" x14ac:dyDescent="0.25">
      <c r="D128" s="30" t="str">
        <f>SUBSTITUTE("Sp.mat: 0.00%",".",IF(VALUE("1.2")=1.2,".",","),2)</f>
        <v>Sp.mat: 0.00%</v>
      </c>
      <c r="F128" s="30" t="str">
        <f>SUBSTITUTE("Sp.man: 0.00%",".",IF(VALUE("1.2")=1.2,".",","),2)</f>
        <v>Sp.man: 0.00%</v>
      </c>
      <c r="G128" s="30" t="str">
        <f>SUBSTITUTE("Sp.uti: 0.00%",".",IF(VALUE("1.2")=1.2,".",","),2)</f>
        <v>Sp.uti: 0.00%</v>
      </c>
    </row>
    <row r="129" spans="1:9" x14ac:dyDescent="0.25">
      <c r="A129" s="50" t="s">
        <v>73</v>
      </c>
      <c r="B129" s="51"/>
      <c r="C129" s="51"/>
      <c r="D129" s="51"/>
      <c r="E129" s="51"/>
      <c r="F129" s="51"/>
      <c r="G129" s="51"/>
    </row>
    <row r="130" spans="1:9" x14ac:dyDescent="0.25">
      <c r="A130" s="51"/>
      <c r="B130" s="51"/>
      <c r="C130" s="51"/>
      <c r="D130" s="51"/>
      <c r="E130" s="51"/>
      <c r="F130" s="51"/>
      <c r="G130" s="51"/>
    </row>
    <row r="131" spans="1:9" x14ac:dyDescent="0.25">
      <c r="A131" s="48" t="s">
        <v>74</v>
      </c>
      <c r="B131" s="49"/>
      <c r="C131" s="49"/>
      <c r="D131" s="49"/>
      <c r="E131" s="49"/>
      <c r="F131" s="49"/>
      <c r="G131" s="49"/>
      <c r="H131" s="32"/>
      <c r="I131" s="33"/>
    </row>
    <row r="132" spans="1:9" x14ac:dyDescent="0.25">
      <c r="B132" s="2">
        <v>25</v>
      </c>
      <c r="C132" s="3" t="s">
        <v>75</v>
      </c>
      <c r="D132" s="5" t="s">
        <v>28</v>
      </c>
      <c r="G132" s="6">
        <v>16.53</v>
      </c>
    </row>
    <row r="133" spans="1:9" x14ac:dyDescent="0.25">
      <c r="D133" s="30" t="str">
        <f>SUBSTITUTE("Sp.mat: 0.00%",".",IF(VALUE("1.2")=1.2,".",","),2)</f>
        <v>Sp.mat: 0.00%</v>
      </c>
      <c r="F133" s="30" t="str">
        <f>SUBSTITUTE("Sp.man: 0.00%",".",IF(VALUE("1.2")=1.2,".",","),2)</f>
        <v>Sp.man: 0.00%</v>
      </c>
      <c r="G133" s="30" t="str">
        <f>SUBSTITUTE("Sp.uti: 0.00%",".",IF(VALUE("1.2")=1.2,".",","),2)</f>
        <v>Sp.uti: 0.00%</v>
      </c>
    </row>
    <row r="134" spans="1:9" x14ac:dyDescent="0.25">
      <c r="A134" s="50" t="s">
        <v>76</v>
      </c>
      <c r="B134" s="51"/>
      <c r="C134" s="51"/>
      <c r="D134" s="51"/>
      <c r="E134" s="51"/>
      <c r="F134" s="51"/>
      <c r="G134" s="51"/>
    </row>
    <row r="135" spans="1:9" x14ac:dyDescent="0.25">
      <c r="A135" s="51"/>
      <c r="B135" s="51"/>
      <c r="C135" s="51"/>
      <c r="D135" s="51"/>
      <c r="E135" s="51"/>
      <c r="F135" s="51"/>
      <c r="G135" s="51"/>
    </row>
    <row r="136" spans="1:9" x14ac:dyDescent="0.25">
      <c r="A136" s="48" t="s">
        <v>26</v>
      </c>
      <c r="B136" s="49"/>
      <c r="C136" s="49"/>
      <c r="D136" s="49"/>
      <c r="E136" s="49"/>
      <c r="F136" s="49"/>
      <c r="G136" s="49"/>
      <c r="H136" s="32"/>
      <c r="I136" s="33"/>
    </row>
    <row r="137" spans="1:9" x14ac:dyDescent="0.25">
      <c r="B137" s="2">
        <v>26</v>
      </c>
      <c r="C137" s="3" t="s">
        <v>77</v>
      </c>
      <c r="D137" s="5" t="s">
        <v>46</v>
      </c>
      <c r="G137" s="6">
        <v>52</v>
      </c>
    </row>
    <row r="138" spans="1:9" x14ac:dyDescent="0.25">
      <c r="D138" s="30" t="str">
        <f>SUBSTITUTE("Sp.mat: 0.00%",".",IF(VALUE("1.2")=1.2,".",","),2)</f>
        <v>Sp.mat: 0.00%</v>
      </c>
      <c r="F138" s="30" t="str">
        <f>SUBSTITUTE("Sp.man: 0.00%",".",IF(VALUE("1.2")=1.2,".",","),2)</f>
        <v>Sp.man: 0.00%</v>
      </c>
      <c r="G138" s="30" t="str">
        <f>SUBSTITUTE("Sp.uti: 0.00%",".",IF(VALUE("1.2")=1.2,".",","),2)</f>
        <v>Sp.uti: 0.00%</v>
      </c>
    </row>
    <row r="139" spans="1:9" x14ac:dyDescent="0.25">
      <c r="A139" s="50" t="s">
        <v>78</v>
      </c>
      <c r="B139" s="51"/>
      <c r="C139" s="51"/>
      <c r="D139" s="51"/>
      <c r="E139" s="51"/>
      <c r="F139" s="51"/>
      <c r="G139" s="51"/>
    </row>
    <row r="140" spans="1:9" x14ac:dyDescent="0.25">
      <c r="A140" s="51"/>
      <c r="B140" s="51"/>
      <c r="C140" s="51"/>
      <c r="D140" s="51"/>
      <c r="E140" s="51"/>
      <c r="F140" s="51"/>
      <c r="G140" s="51"/>
    </row>
    <row r="141" spans="1:9" x14ac:dyDescent="0.25">
      <c r="A141" s="48" t="s">
        <v>26</v>
      </c>
      <c r="B141" s="49"/>
      <c r="C141" s="49"/>
      <c r="D141" s="49"/>
      <c r="E141" s="49"/>
      <c r="F141" s="49"/>
      <c r="G141" s="49"/>
      <c r="H141" s="32"/>
      <c r="I141" s="33"/>
    </row>
    <row r="142" spans="1:9" x14ac:dyDescent="0.25">
      <c r="B142" s="2">
        <v>27</v>
      </c>
      <c r="C142" s="3" t="s">
        <v>79</v>
      </c>
      <c r="D142" s="5" t="s">
        <v>28</v>
      </c>
      <c r="G142" s="6">
        <v>30</v>
      </c>
    </row>
    <row r="143" spans="1:9" x14ac:dyDescent="0.25">
      <c r="D143" s="30" t="str">
        <f>SUBSTITUTE("Sp.mat: 0.00%",".",IF(VALUE("1.2")=1.2,".",","),2)</f>
        <v>Sp.mat: 0.00%</v>
      </c>
      <c r="F143" s="30" t="str">
        <f>SUBSTITUTE("Sp.man: 0.00%",".",IF(VALUE("1.2")=1.2,".",","),2)</f>
        <v>Sp.man: 0.00%</v>
      </c>
      <c r="G143" s="30" t="str">
        <f>SUBSTITUTE("Sp.uti: 0.00%",".",IF(VALUE("1.2")=1.2,".",","),2)</f>
        <v>Sp.uti: 0.00%</v>
      </c>
    </row>
    <row r="144" spans="1:9" x14ac:dyDescent="0.25">
      <c r="A144" s="50" t="s">
        <v>80</v>
      </c>
      <c r="B144" s="51"/>
      <c r="C144" s="51"/>
      <c r="D144" s="51"/>
      <c r="E144" s="51"/>
      <c r="F144" s="51"/>
      <c r="G144" s="51"/>
    </row>
    <row r="145" spans="1:9" x14ac:dyDescent="0.25">
      <c r="A145" s="51"/>
      <c r="B145" s="51"/>
      <c r="C145" s="51"/>
      <c r="D145" s="51"/>
      <c r="E145" s="51"/>
      <c r="F145" s="51"/>
      <c r="G145" s="51"/>
    </row>
    <row r="146" spans="1:9" x14ac:dyDescent="0.25">
      <c r="A146" s="48" t="s">
        <v>26</v>
      </c>
      <c r="B146" s="49"/>
      <c r="C146" s="49"/>
      <c r="D146" s="49"/>
      <c r="E146" s="49"/>
      <c r="F146" s="49"/>
      <c r="G146" s="49"/>
      <c r="H146" s="32"/>
      <c r="I146" s="33"/>
    </row>
    <row r="147" spans="1:9" x14ac:dyDescent="0.25">
      <c r="B147" s="2">
        <v>28</v>
      </c>
      <c r="C147" s="3" t="s">
        <v>81</v>
      </c>
      <c r="D147" s="5" t="s">
        <v>28</v>
      </c>
      <c r="G147" s="6">
        <v>82</v>
      </c>
    </row>
    <row r="148" spans="1:9" x14ac:dyDescent="0.25">
      <c r="D148" s="30" t="str">
        <f>SUBSTITUTE("Sp.mat: 0.00%",".",IF(VALUE("1.2")=1.2,".",","),2)</f>
        <v>Sp.mat: 0.00%</v>
      </c>
      <c r="F148" s="30" t="str">
        <f>SUBSTITUTE("Sp.man: 0.00%",".",IF(VALUE("1.2")=1.2,".",","),2)</f>
        <v>Sp.man: 0.00%</v>
      </c>
      <c r="G148" s="30" t="str">
        <f>SUBSTITUTE("Sp.uti: 0.00%",".",IF(VALUE("1.2")=1.2,".",","),2)</f>
        <v>Sp.uti: 0.00%</v>
      </c>
    </row>
    <row r="149" spans="1:9" x14ac:dyDescent="0.25">
      <c r="A149" s="50" t="s">
        <v>82</v>
      </c>
      <c r="B149" s="51"/>
      <c r="C149" s="51"/>
      <c r="D149" s="51"/>
      <c r="E149" s="51"/>
      <c r="F149" s="51"/>
      <c r="G149" s="51"/>
    </row>
    <row r="150" spans="1:9" x14ac:dyDescent="0.25">
      <c r="A150" s="51"/>
      <c r="B150" s="51"/>
      <c r="C150" s="51"/>
      <c r="D150" s="51"/>
      <c r="E150" s="51"/>
      <c r="F150" s="51"/>
      <c r="G150" s="51"/>
    </row>
    <row r="151" spans="1:9" x14ac:dyDescent="0.25">
      <c r="A151" s="48" t="s">
        <v>26</v>
      </c>
      <c r="B151" s="49"/>
      <c r="C151" s="49"/>
      <c r="D151" s="49"/>
      <c r="E151" s="49"/>
      <c r="F151" s="49"/>
      <c r="G151" s="49"/>
      <c r="H151" s="32"/>
      <c r="I151" s="33"/>
    </row>
    <row r="152" spans="1:9" x14ac:dyDescent="0.25">
      <c r="B152" s="2">
        <v>29</v>
      </c>
      <c r="C152" s="3" t="s">
        <v>83</v>
      </c>
      <c r="D152" s="5" t="s">
        <v>28</v>
      </c>
      <c r="G152" s="6">
        <v>300</v>
      </c>
    </row>
    <row r="153" spans="1:9" x14ac:dyDescent="0.25">
      <c r="D153" s="30" t="str">
        <f>SUBSTITUTE("Sp.mat: 0.00%",".",IF(VALUE("1.2")=1.2,".",","),2)</f>
        <v>Sp.mat: 0.00%</v>
      </c>
      <c r="F153" s="30" t="str">
        <f>SUBSTITUTE("Sp.man: 0.00%",".",IF(VALUE("1.2")=1.2,".",","),2)</f>
        <v>Sp.man: 0.00%</v>
      </c>
      <c r="G153" s="30" t="str">
        <f>SUBSTITUTE("Sp.uti: 0.00%",".",IF(VALUE("1.2")=1.2,".",","),2)</f>
        <v>Sp.uti: 0.00%</v>
      </c>
    </row>
    <row r="154" spans="1:9" x14ac:dyDescent="0.25">
      <c r="A154" s="50" t="s">
        <v>84</v>
      </c>
      <c r="B154" s="51"/>
      <c r="C154" s="51"/>
      <c r="D154" s="51"/>
      <c r="E154" s="51"/>
      <c r="F154" s="51"/>
      <c r="G154" s="51"/>
    </row>
    <row r="155" spans="1:9" x14ac:dyDescent="0.25">
      <c r="A155" s="51"/>
      <c r="B155" s="51"/>
      <c r="C155" s="51"/>
      <c r="D155" s="51"/>
      <c r="E155" s="51"/>
      <c r="F155" s="51"/>
      <c r="G155" s="51"/>
    </row>
    <row r="156" spans="1:9" x14ac:dyDescent="0.25">
      <c r="A156" s="48" t="s">
        <v>26</v>
      </c>
      <c r="B156" s="49"/>
      <c r="C156" s="49"/>
      <c r="D156" s="49"/>
      <c r="E156" s="49"/>
      <c r="F156" s="49"/>
      <c r="G156" s="49"/>
      <c r="H156" s="32"/>
      <c r="I156" s="33"/>
    </row>
    <row r="157" spans="1:9" x14ac:dyDescent="0.25">
      <c r="B157" s="2">
        <v>30</v>
      </c>
      <c r="C157" s="3" t="s">
        <v>85</v>
      </c>
      <c r="D157" s="5" t="s">
        <v>34</v>
      </c>
      <c r="G157" s="6">
        <v>50</v>
      </c>
    </row>
    <row r="158" spans="1:9" x14ac:dyDescent="0.25">
      <c r="D158" s="30" t="str">
        <f>SUBSTITUTE("Sp.mat: 0.00%",".",IF(VALUE("1.2")=1.2,".",","),2)</f>
        <v>Sp.mat: 0.00%</v>
      </c>
      <c r="F158" s="30" t="str">
        <f>SUBSTITUTE("Sp.man: 0.00%",".",IF(VALUE("1.2")=1.2,".",","),2)</f>
        <v>Sp.man: 0.00%</v>
      </c>
      <c r="G158" s="30" t="str">
        <f>SUBSTITUTE("Sp.uti: 0.00%",".",IF(VALUE("1.2")=1.2,".",","),2)</f>
        <v>Sp.uti: 0.00%</v>
      </c>
    </row>
    <row r="159" spans="1:9" x14ac:dyDescent="0.25">
      <c r="A159" s="50" t="s">
        <v>86</v>
      </c>
      <c r="B159" s="51"/>
      <c r="C159" s="51"/>
      <c r="D159" s="51"/>
      <c r="E159" s="51"/>
      <c r="F159" s="51"/>
      <c r="G159" s="51"/>
    </row>
    <row r="160" spans="1:9" x14ac:dyDescent="0.25">
      <c r="A160" s="51"/>
      <c r="B160" s="51"/>
      <c r="C160" s="51"/>
      <c r="D160" s="51"/>
      <c r="E160" s="51"/>
      <c r="F160" s="51"/>
      <c r="G160" s="51"/>
    </row>
    <row r="161" spans="1:9" x14ac:dyDescent="0.25">
      <c r="A161" s="48" t="s">
        <v>26</v>
      </c>
      <c r="B161" s="49"/>
      <c r="C161" s="49"/>
      <c r="D161" s="49"/>
      <c r="E161" s="49"/>
      <c r="F161" s="49"/>
      <c r="G161" s="49"/>
      <c r="H161" s="32"/>
      <c r="I161" s="33"/>
    </row>
    <row r="162" spans="1:9" x14ac:dyDescent="0.25">
      <c r="B162" s="2">
        <v>31</v>
      </c>
      <c r="C162" s="3" t="s">
        <v>87</v>
      </c>
      <c r="D162" s="5" t="s">
        <v>34</v>
      </c>
      <c r="G162" s="6">
        <v>108</v>
      </c>
    </row>
    <row r="163" spans="1:9" x14ac:dyDescent="0.25">
      <c r="D163" s="30" t="str">
        <f>SUBSTITUTE("Sp.mat: 0.00%",".",IF(VALUE("1.2")=1.2,".",","),2)</f>
        <v>Sp.mat: 0.00%</v>
      </c>
      <c r="F163" s="30" t="str">
        <f>SUBSTITUTE("Sp.man: 0.00%",".",IF(VALUE("1.2")=1.2,".",","),2)</f>
        <v>Sp.man: 0.00%</v>
      </c>
      <c r="G163" s="30" t="str">
        <f>SUBSTITUTE("Sp.uti: 0.00%",".",IF(VALUE("1.2")=1.2,".",","),2)</f>
        <v>Sp.uti: 0.00%</v>
      </c>
    </row>
    <row r="164" spans="1:9" x14ac:dyDescent="0.25">
      <c r="A164" s="50" t="s">
        <v>88</v>
      </c>
      <c r="B164" s="51"/>
      <c r="C164" s="51"/>
      <c r="D164" s="51"/>
      <c r="E164" s="51"/>
      <c r="F164" s="51"/>
      <c r="G164" s="51"/>
    </row>
    <row r="165" spans="1:9" x14ac:dyDescent="0.25">
      <c r="A165" s="51"/>
      <c r="B165" s="51"/>
      <c r="C165" s="51"/>
      <c r="D165" s="51"/>
      <c r="E165" s="51"/>
      <c r="F165" s="51"/>
      <c r="G165" s="51"/>
    </row>
    <row r="166" spans="1:9" x14ac:dyDescent="0.25">
      <c r="A166" s="48" t="s">
        <v>26</v>
      </c>
      <c r="B166" s="49"/>
      <c r="C166" s="49"/>
      <c r="D166" s="49"/>
      <c r="E166" s="49"/>
      <c r="F166" s="49"/>
      <c r="G166" s="49"/>
      <c r="H166" s="32"/>
      <c r="I166" s="33"/>
    </row>
    <row r="167" spans="1:9" x14ac:dyDescent="0.25">
      <c r="B167" s="2">
        <v>32</v>
      </c>
      <c r="C167" s="3" t="s">
        <v>89</v>
      </c>
      <c r="D167" s="5" t="s">
        <v>34</v>
      </c>
      <c r="G167" s="6">
        <v>11.64</v>
      </c>
    </row>
    <row r="168" spans="1:9" x14ac:dyDescent="0.25">
      <c r="D168" s="30" t="str">
        <f>SUBSTITUTE("Sp.mat: 0.00%",".",IF(VALUE("1.2")=1.2,".",","),2)</f>
        <v>Sp.mat: 0.00%</v>
      </c>
      <c r="F168" s="30" t="str">
        <f>SUBSTITUTE("Sp.man: 0.00%",".",IF(VALUE("1.2")=1.2,".",","),2)</f>
        <v>Sp.man: 0.00%</v>
      </c>
      <c r="G168" s="30" t="str">
        <f>SUBSTITUTE("Sp.uti: 0.00%",".",IF(VALUE("1.2")=1.2,".",","),2)</f>
        <v>Sp.uti: 0.00%</v>
      </c>
    </row>
    <row r="169" spans="1:9" x14ac:dyDescent="0.25">
      <c r="A169" s="50" t="s">
        <v>90</v>
      </c>
      <c r="B169" s="51"/>
      <c r="C169" s="51"/>
      <c r="D169" s="51"/>
      <c r="E169" s="51"/>
      <c r="F169" s="51"/>
      <c r="G169" s="51"/>
    </row>
    <row r="170" spans="1:9" x14ac:dyDescent="0.25">
      <c r="A170" s="51"/>
      <c r="B170" s="51"/>
      <c r="C170" s="51"/>
      <c r="D170" s="51"/>
      <c r="E170" s="51"/>
      <c r="F170" s="51"/>
      <c r="G170" s="51"/>
    </row>
    <row r="171" spans="1:9" x14ac:dyDescent="0.25">
      <c r="A171" s="48" t="s">
        <v>26</v>
      </c>
      <c r="B171" s="49"/>
      <c r="C171" s="49"/>
      <c r="D171" s="49"/>
      <c r="E171" s="49"/>
      <c r="F171" s="49"/>
      <c r="G171" s="49"/>
      <c r="H171" s="32"/>
      <c r="I171" s="33"/>
    </row>
    <row r="172" spans="1:9" x14ac:dyDescent="0.25">
      <c r="B172" s="2">
        <v>33</v>
      </c>
      <c r="C172" s="3" t="s">
        <v>91</v>
      </c>
      <c r="D172" s="5" t="s">
        <v>34</v>
      </c>
      <c r="G172" s="6">
        <v>0.6</v>
      </c>
    </row>
    <row r="173" spans="1:9" x14ac:dyDescent="0.25">
      <c r="D173" s="30" t="str">
        <f>SUBSTITUTE("Sp.mat: 0.00%",".",IF(VALUE("1.2")=1.2,".",","),2)</f>
        <v>Sp.mat: 0.00%</v>
      </c>
      <c r="F173" s="30" t="str">
        <f>SUBSTITUTE("Sp.man: 0.00%",".",IF(VALUE("1.2")=1.2,".",","),2)</f>
        <v>Sp.man: 0.00%</v>
      </c>
      <c r="G173" s="30" t="str">
        <f>SUBSTITUTE("Sp.uti: 0.00%",".",IF(VALUE("1.2")=1.2,".",","),2)</f>
        <v>Sp.uti: 0.00%</v>
      </c>
    </row>
    <row r="174" spans="1:9" x14ac:dyDescent="0.25">
      <c r="A174" s="50" t="s">
        <v>92</v>
      </c>
      <c r="B174" s="51"/>
      <c r="C174" s="51"/>
      <c r="D174" s="51"/>
      <c r="E174" s="51"/>
      <c r="F174" s="51"/>
      <c r="G174" s="51"/>
    </row>
    <row r="175" spans="1:9" x14ac:dyDescent="0.25">
      <c r="A175" s="51"/>
      <c r="B175" s="51"/>
      <c r="C175" s="51"/>
      <c r="D175" s="51"/>
      <c r="E175" s="51"/>
      <c r="F175" s="51"/>
      <c r="G175" s="51"/>
    </row>
    <row r="176" spans="1:9" x14ac:dyDescent="0.25">
      <c r="A176" s="48" t="s">
        <v>26</v>
      </c>
      <c r="B176" s="49"/>
      <c r="C176" s="49"/>
      <c r="D176" s="49"/>
      <c r="E176" s="49"/>
      <c r="F176" s="49"/>
      <c r="G176" s="49"/>
      <c r="H176" s="32"/>
      <c r="I176" s="33"/>
    </row>
    <row r="177" spans="1:9" x14ac:dyDescent="0.25">
      <c r="B177" s="2">
        <v>34</v>
      </c>
      <c r="C177" s="3" t="s">
        <v>93</v>
      </c>
      <c r="D177" s="5" t="s">
        <v>94</v>
      </c>
      <c r="G177" s="6">
        <v>6</v>
      </c>
    </row>
    <row r="178" spans="1:9" x14ac:dyDescent="0.25">
      <c r="D178" s="30" t="str">
        <f>SUBSTITUTE("Sp.mat: 0.00%",".",IF(VALUE("1.2")=1.2,".",","),2)</f>
        <v>Sp.mat: 0.00%</v>
      </c>
      <c r="F178" s="30" t="str">
        <f>SUBSTITUTE("Sp.man: 0.00%",".",IF(VALUE("1.2")=1.2,".",","),2)</f>
        <v>Sp.man: 0.00%</v>
      </c>
      <c r="G178" s="30" t="str">
        <f>SUBSTITUTE("Sp.uti: 0.00%",".",IF(VALUE("1.2")=1.2,".",","),2)</f>
        <v>Sp.uti: 0.00%</v>
      </c>
    </row>
    <row r="179" spans="1:9" x14ac:dyDescent="0.25">
      <c r="A179" s="50" t="s">
        <v>95</v>
      </c>
      <c r="B179" s="51"/>
      <c r="C179" s="51"/>
      <c r="D179" s="51"/>
      <c r="E179" s="51"/>
      <c r="F179" s="51"/>
      <c r="G179" s="51"/>
    </row>
    <row r="180" spans="1:9" x14ac:dyDescent="0.25">
      <c r="A180" s="51"/>
      <c r="B180" s="51"/>
      <c r="C180" s="51"/>
      <c r="D180" s="51"/>
      <c r="E180" s="51"/>
      <c r="F180" s="51"/>
      <c r="G180" s="51"/>
    </row>
    <row r="181" spans="1:9" x14ac:dyDescent="0.25">
      <c r="A181" s="48" t="s">
        <v>96</v>
      </c>
      <c r="B181" s="49"/>
      <c r="C181" s="49"/>
      <c r="D181" s="49"/>
      <c r="E181" s="49"/>
      <c r="F181" s="49"/>
      <c r="G181" s="49"/>
      <c r="H181" s="32"/>
      <c r="I181" s="33"/>
    </row>
    <row r="182" spans="1:9" x14ac:dyDescent="0.25">
      <c r="B182" s="2">
        <v>35</v>
      </c>
      <c r="C182" s="3" t="s">
        <v>97</v>
      </c>
      <c r="D182" s="5" t="s">
        <v>34</v>
      </c>
      <c r="G182" s="6">
        <v>2</v>
      </c>
    </row>
    <row r="183" spans="1:9" x14ac:dyDescent="0.25">
      <c r="D183" s="30" t="str">
        <f>SUBSTITUTE("Sp.mat: 0.00%",".",IF(VALUE("1.2")=1.2,".",","),2)</f>
        <v>Sp.mat: 0.00%</v>
      </c>
      <c r="F183" s="30" t="str">
        <f>SUBSTITUTE("Sp.man: 0.00%",".",IF(VALUE("1.2")=1.2,".",","),2)</f>
        <v>Sp.man: 0.00%</v>
      </c>
      <c r="G183" s="30" t="str">
        <f>SUBSTITUTE("Sp.uti: 0.00%",".",IF(VALUE("1.2")=1.2,".",","),2)</f>
        <v>Sp.uti: 0.00%</v>
      </c>
    </row>
    <row r="184" spans="1:9" x14ac:dyDescent="0.25">
      <c r="A184" s="50" t="s">
        <v>98</v>
      </c>
      <c r="B184" s="51"/>
      <c r="C184" s="51"/>
      <c r="D184" s="51"/>
      <c r="E184" s="51"/>
      <c r="F184" s="51"/>
      <c r="G184" s="51"/>
    </row>
    <row r="185" spans="1:9" x14ac:dyDescent="0.25">
      <c r="A185" s="51"/>
      <c r="B185" s="51"/>
      <c r="C185" s="51"/>
      <c r="D185" s="51"/>
      <c r="E185" s="51"/>
      <c r="F185" s="51"/>
      <c r="G185" s="51"/>
    </row>
    <row r="186" spans="1:9" x14ac:dyDescent="0.25">
      <c r="A186" s="48" t="s">
        <v>99</v>
      </c>
      <c r="B186" s="49"/>
      <c r="C186" s="49"/>
      <c r="D186" s="49"/>
      <c r="E186" s="49"/>
      <c r="F186" s="49"/>
      <c r="G186" s="49"/>
      <c r="H186" s="32"/>
      <c r="I186" s="33"/>
    </row>
    <row r="187" spans="1:9" x14ac:dyDescent="0.25">
      <c r="B187" s="2">
        <v>36</v>
      </c>
      <c r="C187" s="3" t="s">
        <v>100</v>
      </c>
      <c r="D187" s="5" t="s">
        <v>94</v>
      </c>
      <c r="G187" s="6">
        <v>12</v>
      </c>
    </row>
    <row r="188" spans="1:9" x14ac:dyDescent="0.25">
      <c r="D188" s="30" t="str">
        <f>SUBSTITUTE("Sp.mat: 0.00%",".",IF(VALUE("1.2")=1.2,".",","),2)</f>
        <v>Sp.mat: 0.00%</v>
      </c>
      <c r="F188" s="30" t="str">
        <f>SUBSTITUTE("Sp.man: 0.00%",".",IF(VALUE("1.2")=1.2,".",","),2)</f>
        <v>Sp.man: 0.00%</v>
      </c>
      <c r="G188" s="30" t="str">
        <f>SUBSTITUTE("Sp.uti: 0.00%",".",IF(VALUE("1.2")=1.2,".",","),2)</f>
        <v>Sp.uti: 0.00%</v>
      </c>
    </row>
    <row r="189" spans="1:9" x14ac:dyDescent="0.25">
      <c r="A189" s="50" t="s">
        <v>101</v>
      </c>
      <c r="B189" s="51"/>
      <c r="C189" s="51"/>
      <c r="D189" s="51"/>
      <c r="E189" s="51"/>
      <c r="F189" s="51"/>
      <c r="G189" s="51"/>
    </row>
    <row r="190" spans="1:9" x14ac:dyDescent="0.25">
      <c r="A190" s="51"/>
      <c r="B190" s="51"/>
      <c r="C190" s="51"/>
      <c r="D190" s="51"/>
      <c r="E190" s="51"/>
      <c r="F190" s="51"/>
      <c r="G190" s="51"/>
    </row>
    <row r="191" spans="1:9" x14ac:dyDescent="0.25">
      <c r="A191" s="48" t="s">
        <v>102</v>
      </c>
      <c r="B191" s="49"/>
      <c r="C191" s="49"/>
      <c r="D191" s="49"/>
      <c r="E191" s="49"/>
      <c r="F191" s="49"/>
      <c r="G191" s="49"/>
      <c r="H191" s="32"/>
      <c r="I191" s="33"/>
    </row>
    <row r="192" spans="1:9" x14ac:dyDescent="0.25">
      <c r="B192" s="2">
        <v>37</v>
      </c>
      <c r="C192" s="3" t="s">
        <v>103</v>
      </c>
      <c r="D192" s="5" t="s">
        <v>31</v>
      </c>
      <c r="G192" s="6">
        <v>700</v>
      </c>
    </row>
    <row r="193" spans="1:9" x14ac:dyDescent="0.25">
      <c r="D193" s="30" t="str">
        <f>SUBSTITUTE("Sp.mat: 0.00%",".",IF(VALUE("1.2")=1.2,".",","),2)</f>
        <v>Sp.mat: 0.00%</v>
      </c>
      <c r="F193" s="30" t="str">
        <f>SUBSTITUTE("Sp.man: 0.00%",".",IF(VALUE("1.2")=1.2,".",","),2)</f>
        <v>Sp.man: 0.00%</v>
      </c>
      <c r="G193" s="30" t="str">
        <f>SUBSTITUTE("Sp.uti: 0.00%",".",IF(VALUE("1.2")=1.2,".",","),2)</f>
        <v>Sp.uti: 0.00%</v>
      </c>
    </row>
    <row r="194" spans="1:9" x14ac:dyDescent="0.25">
      <c r="A194" s="50" t="s">
        <v>104</v>
      </c>
      <c r="B194" s="51"/>
      <c r="C194" s="51"/>
      <c r="D194" s="51"/>
      <c r="E194" s="51"/>
      <c r="F194" s="51"/>
      <c r="G194" s="51"/>
    </row>
    <row r="195" spans="1:9" x14ac:dyDescent="0.25">
      <c r="A195" s="51"/>
      <c r="B195" s="51"/>
      <c r="C195" s="51"/>
      <c r="D195" s="51"/>
      <c r="E195" s="51"/>
      <c r="F195" s="51"/>
      <c r="G195" s="51"/>
    </row>
    <row r="196" spans="1:9" x14ac:dyDescent="0.25">
      <c r="A196" s="48" t="s">
        <v>105</v>
      </c>
      <c r="B196" s="49"/>
      <c r="C196" s="49"/>
      <c r="D196" s="49"/>
      <c r="E196" s="49"/>
      <c r="F196" s="49"/>
      <c r="G196" s="49"/>
      <c r="H196" s="32"/>
      <c r="I196" s="33"/>
    </row>
    <row r="197" spans="1:9" x14ac:dyDescent="0.25">
      <c r="B197" s="2">
        <v>38</v>
      </c>
      <c r="C197" s="3" t="s">
        <v>106</v>
      </c>
      <c r="D197" s="5" t="s">
        <v>34</v>
      </c>
      <c r="G197" s="6">
        <v>0.6</v>
      </c>
    </row>
    <row r="198" spans="1:9" x14ac:dyDescent="0.25">
      <c r="D198" s="30" t="str">
        <f>SUBSTITUTE("Sp.mat: 0.00%",".",IF(VALUE("1.2")=1.2,".",","),2)</f>
        <v>Sp.mat: 0.00%</v>
      </c>
      <c r="F198" s="30" t="str">
        <f>SUBSTITUTE("Sp.man: 0.00%",".",IF(VALUE("1.2")=1.2,".",","),2)</f>
        <v>Sp.man: 0.00%</v>
      </c>
      <c r="G198" s="30" t="str">
        <f>SUBSTITUTE("Sp.uti: 0.00%",".",IF(VALUE("1.2")=1.2,".",","),2)</f>
        <v>Sp.uti: 0.00%</v>
      </c>
    </row>
    <row r="199" spans="1:9" x14ac:dyDescent="0.25">
      <c r="A199" s="50" t="s">
        <v>107</v>
      </c>
      <c r="B199" s="51"/>
      <c r="C199" s="51"/>
      <c r="D199" s="51"/>
      <c r="E199" s="51"/>
      <c r="F199" s="51"/>
      <c r="G199" s="51"/>
    </row>
    <row r="200" spans="1:9" x14ac:dyDescent="0.25">
      <c r="A200" s="51"/>
      <c r="B200" s="51"/>
      <c r="C200" s="51"/>
      <c r="D200" s="51"/>
      <c r="E200" s="51"/>
      <c r="F200" s="51"/>
      <c r="G200" s="51"/>
    </row>
    <row r="201" spans="1:9" x14ac:dyDescent="0.25">
      <c r="A201" s="48" t="s">
        <v>108</v>
      </c>
      <c r="B201" s="49"/>
      <c r="C201" s="49"/>
      <c r="D201" s="49"/>
      <c r="E201" s="49"/>
      <c r="F201" s="49"/>
      <c r="G201" s="49"/>
      <c r="H201" s="32"/>
      <c r="I201" s="33"/>
    </row>
    <row r="202" spans="1:9" x14ac:dyDescent="0.25">
      <c r="B202" s="2">
        <v>39</v>
      </c>
      <c r="C202" s="3" t="s">
        <v>109</v>
      </c>
      <c r="D202" s="5" t="s">
        <v>46</v>
      </c>
      <c r="G202" s="6">
        <v>80</v>
      </c>
    </row>
    <row r="203" spans="1:9" x14ac:dyDescent="0.25">
      <c r="D203" s="30" t="str">
        <f>SUBSTITUTE("Sp.mat: 0.00%",".",IF(VALUE("1.2")=1.2,".",","),2)</f>
        <v>Sp.mat: 0.00%</v>
      </c>
      <c r="F203" s="30" t="str">
        <f>SUBSTITUTE("Sp.man: 0.00%",".",IF(VALUE("1.2")=1.2,".",","),2)</f>
        <v>Sp.man: 0.00%</v>
      </c>
      <c r="G203" s="30" t="str">
        <f>SUBSTITUTE("Sp.uti: 0.00%",".",IF(VALUE("1.2")=1.2,".",","),2)</f>
        <v>Sp.uti: 0.00%</v>
      </c>
    </row>
    <row r="204" spans="1:9" x14ac:dyDescent="0.25">
      <c r="A204" s="50" t="s">
        <v>110</v>
      </c>
      <c r="B204" s="51"/>
      <c r="C204" s="51"/>
      <c r="D204" s="51"/>
      <c r="E204" s="51"/>
      <c r="F204" s="51"/>
      <c r="G204" s="51"/>
    </row>
    <row r="205" spans="1:9" x14ac:dyDescent="0.25">
      <c r="A205" s="51"/>
      <c r="B205" s="51"/>
      <c r="C205" s="51"/>
      <c r="D205" s="51"/>
      <c r="E205" s="51"/>
      <c r="F205" s="51"/>
      <c r="G205" s="51"/>
    </row>
    <row r="206" spans="1:9" x14ac:dyDescent="0.25">
      <c r="A206" s="48" t="s">
        <v>26</v>
      </c>
      <c r="B206" s="49"/>
      <c r="C206" s="49"/>
      <c r="D206" s="49"/>
      <c r="E206" s="49"/>
      <c r="F206" s="49"/>
      <c r="G206" s="49"/>
      <c r="H206" s="32"/>
      <c r="I206" s="33"/>
    </row>
    <row r="207" spans="1:9" x14ac:dyDescent="0.25">
      <c r="B207" s="2">
        <v>40</v>
      </c>
      <c r="C207" s="3" t="s">
        <v>111</v>
      </c>
      <c r="D207" s="5" t="s">
        <v>24</v>
      </c>
      <c r="G207" s="6">
        <v>30</v>
      </c>
    </row>
    <row r="208" spans="1:9" x14ac:dyDescent="0.25">
      <c r="D208" s="30" t="str">
        <f>SUBSTITUTE("Sp.mat: 0.00%",".",IF(VALUE("1.2")=1.2,".",","),2)</f>
        <v>Sp.mat: 0.00%</v>
      </c>
      <c r="F208" s="30" t="str">
        <f>SUBSTITUTE("Sp.man: 0.00%",".",IF(VALUE("1.2")=1.2,".",","),2)</f>
        <v>Sp.man: 0.00%</v>
      </c>
      <c r="G208" s="30" t="str">
        <f>SUBSTITUTE("Sp.uti: 0.00%",".",IF(VALUE("1.2")=1.2,".",","),2)</f>
        <v>Sp.uti: 0.00%</v>
      </c>
    </row>
    <row r="209" spans="1:9" x14ac:dyDescent="0.25">
      <c r="A209" s="50" t="s">
        <v>112</v>
      </c>
      <c r="B209" s="51"/>
      <c r="C209" s="51"/>
      <c r="D209" s="51"/>
      <c r="E209" s="51"/>
      <c r="F209" s="51"/>
      <c r="G209" s="51"/>
    </row>
    <row r="210" spans="1:9" x14ac:dyDescent="0.25">
      <c r="A210" s="51"/>
      <c r="B210" s="51"/>
      <c r="C210" s="51"/>
      <c r="D210" s="51"/>
      <c r="E210" s="51"/>
      <c r="F210" s="51"/>
      <c r="G210" s="51"/>
    </row>
    <row r="211" spans="1:9" x14ac:dyDescent="0.25">
      <c r="A211" s="48" t="s">
        <v>26</v>
      </c>
      <c r="B211" s="49"/>
      <c r="C211" s="49"/>
      <c r="D211" s="49"/>
      <c r="E211" s="49"/>
      <c r="F211" s="49"/>
      <c r="G211" s="49"/>
      <c r="H211" s="32"/>
      <c r="I211" s="33"/>
    </row>
    <row r="212" spans="1:9" x14ac:dyDescent="0.25">
      <c r="B212" s="2">
        <v>41</v>
      </c>
      <c r="C212" s="3" t="s">
        <v>113</v>
      </c>
      <c r="D212" s="5" t="s">
        <v>114</v>
      </c>
      <c r="G212" s="6">
        <v>0.9</v>
      </c>
    </row>
    <row r="213" spans="1:9" x14ac:dyDescent="0.25">
      <c r="D213" s="30" t="str">
        <f>SUBSTITUTE("Sp.mat: 0.00%",".",IF(VALUE("1.2")=1.2,".",","),2)</f>
        <v>Sp.mat: 0.00%</v>
      </c>
      <c r="F213" s="30" t="str">
        <f>SUBSTITUTE("Sp.man: 0.00%",".",IF(VALUE("1.2")=1.2,".",","),2)</f>
        <v>Sp.man: 0.00%</v>
      </c>
      <c r="G213" s="30" t="str">
        <f>SUBSTITUTE("Sp.uti: 0.00%",".",IF(VALUE("1.2")=1.2,".",","),2)</f>
        <v>Sp.uti: 0.00%</v>
      </c>
    </row>
    <row r="214" spans="1:9" x14ac:dyDescent="0.25">
      <c r="A214" s="50" t="s">
        <v>115</v>
      </c>
      <c r="B214" s="51"/>
      <c r="C214" s="51"/>
      <c r="D214" s="51"/>
      <c r="E214" s="51"/>
      <c r="F214" s="51"/>
      <c r="G214" s="51"/>
    </row>
    <row r="215" spans="1:9" x14ac:dyDescent="0.25">
      <c r="A215" s="51"/>
      <c r="B215" s="51"/>
      <c r="C215" s="51"/>
      <c r="D215" s="51"/>
      <c r="E215" s="51"/>
      <c r="F215" s="51"/>
      <c r="G215" s="51"/>
    </row>
    <row r="216" spans="1:9" x14ac:dyDescent="0.25">
      <c r="A216" s="48" t="s">
        <v>26</v>
      </c>
      <c r="B216" s="49"/>
      <c r="C216" s="49"/>
      <c r="D216" s="49"/>
      <c r="E216" s="49"/>
      <c r="F216" s="49"/>
      <c r="G216" s="49"/>
      <c r="H216" s="32"/>
      <c r="I216" s="33"/>
    </row>
    <row r="217" spans="1:9" x14ac:dyDescent="0.25">
      <c r="B217" s="2">
        <v>42</v>
      </c>
      <c r="C217" s="3" t="s">
        <v>116</v>
      </c>
      <c r="D217" s="5" t="s">
        <v>24</v>
      </c>
      <c r="G217" s="6">
        <v>5</v>
      </c>
    </row>
    <row r="218" spans="1:9" x14ac:dyDescent="0.25">
      <c r="D218" s="30" t="str">
        <f>SUBSTITUTE("Sp.mat: 0.00%",".",IF(VALUE("1.2")=1.2,".",","),2)</f>
        <v>Sp.mat: 0.00%</v>
      </c>
      <c r="F218" s="30" t="str">
        <f>SUBSTITUTE("Sp.man: 0.00%",".",IF(VALUE("1.2")=1.2,".",","),2)</f>
        <v>Sp.man: 0.00%</v>
      </c>
      <c r="G218" s="30" t="str">
        <f>SUBSTITUTE("Sp.uti: 0.00%",".",IF(VALUE("1.2")=1.2,".",","),2)</f>
        <v>Sp.uti: 0.00%</v>
      </c>
    </row>
    <row r="219" spans="1:9" x14ac:dyDescent="0.25">
      <c r="A219" s="50" t="s">
        <v>117</v>
      </c>
      <c r="B219" s="51"/>
      <c r="C219" s="51"/>
      <c r="D219" s="51"/>
      <c r="E219" s="51"/>
      <c r="F219" s="51"/>
      <c r="G219" s="51"/>
    </row>
    <row r="220" spans="1:9" x14ac:dyDescent="0.25">
      <c r="A220" s="51"/>
      <c r="B220" s="51"/>
      <c r="C220" s="51"/>
      <c r="D220" s="51"/>
      <c r="E220" s="51"/>
      <c r="F220" s="51"/>
      <c r="G220" s="51"/>
    </row>
    <row r="221" spans="1:9" x14ac:dyDescent="0.25">
      <c r="A221" s="48" t="s">
        <v>26</v>
      </c>
      <c r="B221" s="49"/>
      <c r="C221" s="49"/>
      <c r="D221" s="49"/>
      <c r="E221" s="49"/>
      <c r="F221" s="49"/>
      <c r="G221" s="49"/>
      <c r="H221" s="32"/>
      <c r="I221" s="33"/>
    </row>
    <row r="222" spans="1:9" x14ac:dyDescent="0.25">
      <c r="B222" s="2">
        <v>43</v>
      </c>
      <c r="C222" s="3" t="s">
        <v>118</v>
      </c>
      <c r="D222" s="5" t="s">
        <v>24</v>
      </c>
      <c r="G222" s="6">
        <v>6</v>
      </c>
    </row>
    <row r="223" spans="1:9" x14ac:dyDescent="0.25">
      <c r="D223" s="30" t="str">
        <f>SUBSTITUTE("Sp.mat: 0.00%",".",IF(VALUE("1.2")=1.2,".",","),2)</f>
        <v>Sp.mat: 0.00%</v>
      </c>
      <c r="F223" s="30" t="str">
        <f>SUBSTITUTE("Sp.man: 0.00%",".",IF(VALUE("1.2")=1.2,".",","),2)</f>
        <v>Sp.man: 0.00%</v>
      </c>
      <c r="G223" s="30" t="str">
        <f>SUBSTITUTE("Sp.uti: 0.00%",".",IF(VALUE("1.2")=1.2,".",","),2)</f>
        <v>Sp.uti: 0.00%</v>
      </c>
    </row>
    <row r="224" spans="1:9" x14ac:dyDescent="0.25">
      <c r="A224" s="50" t="s">
        <v>119</v>
      </c>
      <c r="B224" s="51"/>
      <c r="C224" s="51"/>
      <c r="D224" s="51"/>
      <c r="E224" s="51"/>
      <c r="F224" s="51"/>
      <c r="G224" s="51"/>
    </row>
    <row r="225" spans="1:9" x14ac:dyDescent="0.25">
      <c r="A225" s="51"/>
      <c r="B225" s="51"/>
      <c r="C225" s="51"/>
      <c r="D225" s="51"/>
      <c r="E225" s="51"/>
      <c r="F225" s="51"/>
      <c r="G225" s="51"/>
    </row>
    <row r="226" spans="1:9" x14ac:dyDescent="0.25">
      <c r="A226" s="48" t="s">
        <v>26</v>
      </c>
      <c r="B226" s="49"/>
      <c r="C226" s="49"/>
      <c r="D226" s="49"/>
      <c r="E226" s="49"/>
      <c r="F226" s="49"/>
      <c r="G226" s="49"/>
      <c r="H226" s="32"/>
      <c r="I226" s="33"/>
    </row>
    <row r="227" spans="1:9" x14ac:dyDescent="0.25">
      <c r="B227" s="2">
        <v>44</v>
      </c>
      <c r="C227" s="3" t="s">
        <v>120</v>
      </c>
      <c r="D227" s="5" t="s">
        <v>94</v>
      </c>
      <c r="G227" s="6">
        <v>1</v>
      </c>
    </row>
    <row r="228" spans="1:9" x14ac:dyDescent="0.25">
      <c r="D228" s="30" t="str">
        <f>SUBSTITUTE("Sp.mat: 0.00%",".",IF(VALUE("1.2")=1.2,".",","),2)</f>
        <v>Sp.mat: 0.00%</v>
      </c>
      <c r="F228" s="30" t="str">
        <f>SUBSTITUTE("Sp.man: 0.00%",".",IF(VALUE("1.2")=1.2,".",","),2)</f>
        <v>Sp.man: 0.00%</v>
      </c>
      <c r="G228" s="30" t="str">
        <f>SUBSTITUTE("Sp.uti: 0.00%",".",IF(VALUE("1.2")=1.2,".",","),2)</f>
        <v>Sp.uti: 0.00%</v>
      </c>
    </row>
    <row r="229" spans="1:9" x14ac:dyDescent="0.25">
      <c r="A229" s="50" t="s">
        <v>121</v>
      </c>
      <c r="B229" s="51"/>
      <c r="C229" s="51"/>
      <c r="D229" s="51"/>
      <c r="E229" s="51"/>
      <c r="F229" s="51"/>
      <c r="G229" s="51"/>
    </row>
    <row r="230" spans="1:9" x14ac:dyDescent="0.25">
      <c r="A230" s="51"/>
      <c r="B230" s="51"/>
      <c r="C230" s="51"/>
      <c r="D230" s="51"/>
      <c r="E230" s="51"/>
      <c r="F230" s="51"/>
      <c r="G230" s="51"/>
    </row>
    <row r="231" spans="1:9" x14ac:dyDescent="0.25">
      <c r="A231" s="48" t="s">
        <v>122</v>
      </c>
      <c r="B231" s="49"/>
      <c r="C231" s="49"/>
      <c r="D231" s="49"/>
      <c r="E231" s="49"/>
      <c r="F231" s="49"/>
      <c r="G231" s="49"/>
      <c r="H231" s="32"/>
      <c r="I231" s="33"/>
    </row>
    <row r="232" spans="1:9" x14ac:dyDescent="0.25">
      <c r="B232" s="2">
        <v>45</v>
      </c>
      <c r="C232" s="3" t="s">
        <v>123</v>
      </c>
      <c r="D232" s="5" t="s">
        <v>94</v>
      </c>
      <c r="G232" s="6">
        <v>4</v>
      </c>
    </row>
    <row r="233" spans="1:9" x14ac:dyDescent="0.25">
      <c r="D233" s="30" t="str">
        <f>SUBSTITUTE("Sp.mat: 0.00%",".",IF(VALUE("1.2")=1.2,".",","),2)</f>
        <v>Sp.mat: 0.00%</v>
      </c>
      <c r="F233" s="30" t="str">
        <f>SUBSTITUTE("Sp.man: 0.00%",".",IF(VALUE("1.2")=1.2,".",","),2)</f>
        <v>Sp.man: 0.00%</v>
      </c>
      <c r="G233" s="30" t="str">
        <f>SUBSTITUTE("Sp.uti: 0.00%",".",IF(VALUE("1.2")=1.2,".",","),2)</f>
        <v>Sp.uti: 0.00%</v>
      </c>
    </row>
    <row r="234" spans="1:9" x14ac:dyDescent="0.25">
      <c r="A234" s="50" t="s">
        <v>124</v>
      </c>
      <c r="B234" s="51"/>
      <c r="C234" s="51"/>
      <c r="D234" s="51"/>
      <c r="E234" s="51"/>
      <c r="F234" s="51"/>
      <c r="G234" s="51"/>
    </row>
    <row r="235" spans="1:9" x14ac:dyDescent="0.25">
      <c r="A235" s="51"/>
      <c r="B235" s="51"/>
      <c r="C235" s="51"/>
      <c r="D235" s="51"/>
      <c r="E235" s="51"/>
      <c r="F235" s="51"/>
      <c r="G235" s="51"/>
    </row>
    <row r="236" spans="1:9" x14ac:dyDescent="0.25">
      <c r="A236" s="48" t="s">
        <v>125</v>
      </c>
      <c r="B236" s="49"/>
      <c r="C236" s="49"/>
      <c r="D236" s="49"/>
      <c r="E236" s="49"/>
      <c r="F236" s="49"/>
      <c r="G236" s="49"/>
      <c r="H236" s="32"/>
      <c r="I236" s="33"/>
    </row>
    <row r="237" spans="1:9" x14ac:dyDescent="0.25">
      <c r="B237" s="2">
        <v>46</v>
      </c>
      <c r="C237" s="3" t="s">
        <v>126</v>
      </c>
      <c r="D237" s="5" t="s">
        <v>46</v>
      </c>
      <c r="G237" s="6">
        <v>100</v>
      </c>
    </row>
    <row r="238" spans="1:9" x14ac:dyDescent="0.25">
      <c r="D238" s="30" t="str">
        <f>SUBSTITUTE("Sp.mat: 0.00%",".",IF(VALUE("1.2")=1.2,".",","),2)</f>
        <v>Sp.mat: 0.00%</v>
      </c>
      <c r="F238" s="30" t="str">
        <f>SUBSTITUTE("Sp.man: 0.00%",".",IF(VALUE("1.2")=1.2,".",","),2)</f>
        <v>Sp.man: 0.00%</v>
      </c>
      <c r="G238" s="30" t="str">
        <f>SUBSTITUTE("Sp.uti: 0.00%",".",IF(VALUE("1.2")=1.2,".",","),2)</f>
        <v>Sp.uti: 0.00%</v>
      </c>
    </row>
    <row r="239" spans="1:9" x14ac:dyDescent="0.25">
      <c r="A239" s="50" t="s">
        <v>127</v>
      </c>
      <c r="B239" s="51"/>
      <c r="C239" s="51"/>
      <c r="D239" s="51"/>
      <c r="E239" s="51"/>
      <c r="F239" s="51"/>
      <c r="G239" s="51"/>
    </row>
    <row r="240" spans="1:9" x14ac:dyDescent="0.25">
      <c r="A240" s="51"/>
      <c r="B240" s="51"/>
      <c r="C240" s="51"/>
      <c r="D240" s="51"/>
      <c r="E240" s="51"/>
      <c r="F240" s="51"/>
      <c r="G240" s="51"/>
    </row>
    <row r="241" spans="1:9" x14ac:dyDescent="0.25">
      <c r="A241" s="48" t="s">
        <v>128</v>
      </c>
      <c r="B241" s="49"/>
      <c r="C241" s="49"/>
      <c r="D241" s="49"/>
      <c r="E241" s="49"/>
      <c r="F241" s="49"/>
      <c r="G241" s="49"/>
      <c r="H241" s="32"/>
      <c r="I241" s="33"/>
    </row>
    <row r="242" spans="1:9" x14ac:dyDescent="0.25">
      <c r="B242" s="2">
        <v>47</v>
      </c>
      <c r="C242" s="3" t="s">
        <v>129</v>
      </c>
      <c r="D242" s="5" t="s">
        <v>46</v>
      </c>
      <c r="G242" s="6">
        <v>80</v>
      </c>
    </row>
    <row r="243" spans="1:9" x14ac:dyDescent="0.25">
      <c r="D243" s="30" t="str">
        <f>SUBSTITUTE("Sp.mat: 0.00%",".",IF(VALUE("1.2")=1.2,".",","),2)</f>
        <v>Sp.mat: 0.00%</v>
      </c>
      <c r="F243" s="30" t="str">
        <f>SUBSTITUTE("Sp.man: 0.00%",".",IF(VALUE("1.2")=1.2,".",","),2)</f>
        <v>Sp.man: 0.00%</v>
      </c>
      <c r="G243" s="30" t="str">
        <f>SUBSTITUTE("Sp.uti: 0.00%",".",IF(VALUE("1.2")=1.2,".",","),2)</f>
        <v>Sp.uti: 0.00%</v>
      </c>
    </row>
    <row r="244" spans="1:9" x14ac:dyDescent="0.25">
      <c r="A244" s="50" t="s">
        <v>130</v>
      </c>
      <c r="B244" s="51"/>
      <c r="C244" s="51"/>
      <c r="D244" s="51"/>
      <c r="E244" s="51"/>
      <c r="F244" s="51"/>
      <c r="G244" s="51"/>
    </row>
    <row r="245" spans="1:9" x14ac:dyDescent="0.25">
      <c r="A245" s="51"/>
      <c r="B245" s="51"/>
      <c r="C245" s="51"/>
      <c r="D245" s="51"/>
      <c r="E245" s="51"/>
      <c r="F245" s="51"/>
      <c r="G245" s="51"/>
    </row>
    <row r="246" spans="1:9" x14ac:dyDescent="0.25">
      <c r="A246" s="48" t="s">
        <v>26</v>
      </c>
      <c r="B246" s="49"/>
      <c r="C246" s="49"/>
      <c r="D246" s="49"/>
      <c r="E246" s="49"/>
      <c r="F246" s="49"/>
      <c r="G246" s="49"/>
      <c r="H246" s="32"/>
      <c r="I246" s="33"/>
    </row>
    <row r="247" spans="1:9" x14ac:dyDescent="0.25">
      <c r="B247" s="2">
        <v>48</v>
      </c>
      <c r="C247" s="3" t="s">
        <v>131</v>
      </c>
      <c r="D247" s="5" t="s">
        <v>28</v>
      </c>
      <c r="G247" s="6">
        <v>382</v>
      </c>
    </row>
    <row r="248" spans="1:9" x14ac:dyDescent="0.25">
      <c r="D248" s="30" t="str">
        <f>SUBSTITUTE("Sp.mat: 0.00%",".",IF(VALUE("1.2")=1.2,".",","),2)</f>
        <v>Sp.mat: 0.00%</v>
      </c>
      <c r="F248" s="30" t="str">
        <f>SUBSTITUTE("Sp.man: 0.00%",".",IF(VALUE("1.2")=1.2,".",","),2)</f>
        <v>Sp.man: 0.00%</v>
      </c>
      <c r="G248" s="30" t="str">
        <f>SUBSTITUTE("Sp.uti: 0.00%",".",IF(VALUE("1.2")=1.2,".",","),2)</f>
        <v>Sp.uti: 0.00%</v>
      </c>
    </row>
    <row r="249" spans="1:9" x14ac:dyDescent="0.25">
      <c r="A249" s="50" t="s">
        <v>132</v>
      </c>
      <c r="B249" s="51"/>
      <c r="C249" s="51"/>
      <c r="D249" s="51"/>
      <c r="E249" s="51"/>
      <c r="F249" s="51"/>
      <c r="G249" s="51"/>
    </row>
    <row r="250" spans="1:9" x14ac:dyDescent="0.25">
      <c r="A250" s="51"/>
      <c r="B250" s="51"/>
      <c r="C250" s="51"/>
      <c r="D250" s="51"/>
      <c r="E250" s="51"/>
      <c r="F250" s="51"/>
      <c r="G250" s="51"/>
    </row>
    <row r="251" spans="1:9" x14ac:dyDescent="0.25">
      <c r="A251" s="48" t="s">
        <v>26</v>
      </c>
      <c r="B251" s="49"/>
      <c r="C251" s="49"/>
      <c r="D251" s="49"/>
      <c r="E251" s="49"/>
      <c r="F251" s="49"/>
      <c r="G251" s="49"/>
      <c r="H251" s="32"/>
      <c r="I251" s="33"/>
    </row>
    <row r="252" spans="1:9" x14ac:dyDescent="0.25">
      <c r="B252" s="2">
        <v>49</v>
      </c>
      <c r="C252" s="3" t="s">
        <v>133</v>
      </c>
      <c r="D252" s="5" t="s">
        <v>94</v>
      </c>
      <c r="G252" s="6">
        <v>1</v>
      </c>
    </row>
    <row r="253" spans="1:9" x14ac:dyDescent="0.25">
      <c r="D253" s="30" t="str">
        <f>SUBSTITUTE("Sp.mat: 0.00%",".",IF(VALUE("1.2")=1.2,".",","),2)</f>
        <v>Sp.mat: 0.00%</v>
      </c>
      <c r="F253" s="30" t="str">
        <f>SUBSTITUTE("Sp.man: 0.00%",".",IF(VALUE("1.2")=1.2,".",","),2)</f>
        <v>Sp.man: 0.00%</v>
      </c>
      <c r="G253" s="30" t="str">
        <f>SUBSTITUTE("Sp.uti: 0.00%",".",IF(VALUE("1.2")=1.2,".",","),2)</f>
        <v>Sp.uti: 0.00%</v>
      </c>
    </row>
    <row r="254" spans="1:9" x14ac:dyDescent="0.25">
      <c r="A254" s="50" t="s">
        <v>134</v>
      </c>
      <c r="B254" s="51"/>
      <c r="C254" s="51"/>
      <c r="D254" s="51"/>
      <c r="E254" s="51"/>
      <c r="F254" s="51"/>
      <c r="G254" s="51"/>
    </row>
    <row r="255" spans="1:9" x14ac:dyDescent="0.25">
      <c r="A255" s="51"/>
      <c r="B255" s="51"/>
      <c r="C255" s="51"/>
      <c r="D255" s="51"/>
      <c r="E255" s="51"/>
      <c r="F255" s="51"/>
      <c r="G255" s="51"/>
    </row>
    <row r="256" spans="1:9" x14ac:dyDescent="0.25">
      <c r="A256" s="48" t="s">
        <v>26</v>
      </c>
      <c r="B256" s="49"/>
      <c r="C256" s="49"/>
      <c r="D256" s="49"/>
      <c r="E256" s="49"/>
      <c r="F256" s="49"/>
      <c r="G256" s="49"/>
      <c r="H256" s="32"/>
      <c r="I256" s="33"/>
    </row>
    <row r="257" spans="1:9" x14ac:dyDescent="0.25">
      <c r="B257" s="2">
        <v>50</v>
      </c>
      <c r="C257" s="3" t="s">
        <v>135</v>
      </c>
      <c r="D257" s="5" t="s">
        <v>94</v>
      </c>
      <c r="G257" s="6">
        <v>1</v>
      </c>
    </row>
    <row r="258" spans="1:9" x14ac:dyDescent="0.25">
      <c r="D258" s="30" t="str">
        <f>SUBSTITUTE("Sp.mat: 0.00%",".",IF(VALUE("1.2")=1.2,".",","),2)</f>
        <v>Sp.mat: 0.00%</v>
      </c>
      <c r="F258" s="30" t="str">
        <f>SUBSTITUTE("Sp.man: 0.00%",".",IF(VALUE("1.2")=1.2,".",","),2)</f>
        <v>Sp.man: 0.00%</v>
      </c>
      <c r="G258" s="30" t="str">
        <f>SUBSTITUTE("Sp.uti: 0.00%",".",IF(VALUE("1.2")=1.2,".",","),2)</f>
        <v>Sp.uti: 0.00%</v>
      </c>
    </row>
    <row r="259" spans="1:9" x14ac:dyDescent="0.25">
      <c r="A259" s="50" t="s">
        <v>136</v>
      </c>
      <c r="B259" s="51"/>
      <c r="C259" s="51"/>
      <c r="D259" s="51"/>
      <c r="E259" s="51"/>
      <c r="F259" s="51"/>
      <c r="G259" s="51"/>
    </row>
    <row r="260" spans="1:9" x14ac:dyDescent="0.25">
      <c r="A260" s="51"/>
      <c r="B260" s="51"/>
      <c r="C260" s="51"/>
      <c r="D260" s="51"/>
      <c r="E260" s="51"/>
      <c r="F260" s="51"/>
      <c r="G260" s="51"/>
    </row>
    <row r="261" spans="1:9" x14ac:dyDescent="0.25">
      <c r="A261" s="48" t="s">
        <v>26</v>
      </c>
      <c r="B261" s="49"/>
      <c r="C261" s="49"/>
      <c r="D261" s="49"/>
      <c r="E261" s="49"/>
      <c r="F261" s="49"/>
      <c r="G261" s="49"/>
      <c r="H261" s="32"/>
      <c r="I261" s="33"/>
    </row>
    <row r="262" spans="1:9" x14ac:dyDescent="0.25">
      <c r="B262" s="2">
        <v>51</v>
      </c>
      <c r="C262" s="3" t="s">
        <v>137</v>
      </c>
      <c r="D262" s="5" t="s">
        <v>46</v>
      </c>
      <c r="G262" s="6">
        <v>22</v>
      </c>
    </row>
    <row r="263" spans="1:9" x14ac:dyDescent="0.25">
      <c r="D263" s="30" t="str">
        <f>SUBSTITUTE("Sp.mat: 0.00%",".",IF(VALUE("1.2")=1.2,".",","),2)</f>
        <v>Sp.mat: 0.00%</v>
      </c>
      <c r="F263" s="30" t="str">
        <f>SUBSTITUTE("Sp.man: 0.00%",".",IF(VALUE("1.2")=1.2,".",","),2)</f>
        <v>Sp.man: 0.00%</v>
      </c>
      <c r="G263" s="30" t="str">
        <f>SUBSTITUTE("Sp.uti: 0.00%",".",IF(VALUE("1.2")=1.2,".",","),2)</f>
        <v>Sp.uti: 0.00%</v>
      </c>
    </row>
    <row r="264" spans="1:9" x14ac:dyDescent="0.25">
      <c r="A264" s="50" t="s">
        <v>138</v>
      </c>
      <c r="B264" s="51"/>
      <c r="C264" s="51"/>
      <c r="D264" s="51"/>
      <c r="E264" s="51"/>
      <c r="F264" s="51"/>
      <c r="G264" s="51"/>
    </row>
    <row r="265" spans="1:9" x14ac:dyDescent="0.25">
      <c r="A265" s="51"/>
      <c r="B265" s="51"/>
      <c r="C265" s="51"/>
      <c r="D265" s="51"/>
      <c r="E265" s="51"/>
      <c r="F265" s="51"/>
      <c r="G265" s="51"/>
    </row>
    <row r="266" spans="1:9" x14ac:dyDescent="0.25">
      <c r="A266" s="48" t="s">
        <v>26</v>
      </c>
      <c r="B266" s="49"/>
      <c r="C266" s="49"/>
      <c r="D266" s="49"/>
      <c r="E266" s="49"/>
      <c r="F266" s="49"/>
      <c r="G266" s="49"/>
      <c r="H266" s="32"/>
      <c r="I266" s="33"/>
    </row>
    <row r="267" spans="1:9" x14ac:dyDescent="0.25">
      <c r="B267" s="2">
        <v>52</v>
      </c>
      <c r="C267" s="3" t="s">
        <v>139</v>
      </c>
      <c r="D267" s="5" t="s">
        <v>94</v>
      </c>
      <c r="G267" s="6">
        <v>2</v>
      </c>
    </row>
    <row r="268" spans="1:9" x14ac:dyDescent="0.25">
      <c r="D268" s="30" t="str">
        <f>SUBSTITUTE("Sp.mat: 0.00%",".",IF(VALUE("1.2")=1.2,".",","),2)</f>
        <v>Sp.mat: 0.00%</v>
      </c>
      <c r="F268" s="30" t="str">
        <f>SUBSTITUTE("Sp.man: 0.00%",".",IF(VALUE("1.2")=1.2,".",","),2)</f>
        <v>Sp.man: 0.00%</v>
      </c>
      <c r="G268" s="30" t="str">
        <f>SUBSTITUTE("Sp.uti: 0.00%",".",IF(VALUE("1.2")=1.2,".",","),2)</f>
        <v>Sp.uti: 0.00%</v>
      </c>
    </row>
    <row r="269" spans="1:9" x14ac:dyDescent="0.25">
      <c r="A269" s="50" t="s">
        <v>140</v>
      </c>
      <c r="B269" s="51"/>
      <c r="C269" s="51"/>
      <c r="D269" s="51"/>
      <c r="E269" s="51"/>
      <c r="F269" s="51"/>
      <c r="G269" s="51"/>
    </row>
    <row r="270" spans="1:9" x14ac:dyDescent="0.25">
      <c r="A270" s="51"/>
      <c r="B270" s="51"/>
      <c r="C270" s="51"/>
      <c r="D270" s="51"/>
      <c r="E270" s="51"/>
      <c r="F270" s="51"/>
      <c r="G270" s="51"/>
    </row>
    <row r="271" spans="1:9" x14ac:dyDescent="0.25">
      <c r="A271" s="48" t="s">
        <v>26</v>
      </c>
      <c r="B271" s="49"/>
      <c r="C271" s="49"/>
      <c r="D271" s="49"/>
      <c r="E271" s="49"/>
      <c r="F271" s="49"/>
      <c r="G271" s="49"/>
      <c r="H271" s="32"/>
      <c r="I271" s="33"/>
    </row>
    <row r="272" spans="1:9" x14ac:dyDescent="0.25">
      <c r="B272" s="2">
        <v>53</v>
      </c>
      <c r="C272" s="3" t="s">
        <v>141</v>
      </c>
      <c r="D272" s="5" t="s">
        <v>94</v>
      </c>
      <c r="G272" s="6">
        <v>2</v>
      </c>
    </row>
    <row r="273" spans="1:19" x14ac:dyDescent="0.25">
      <c r="D273" s="30" t="str">
        <f>SUBSTITUTE("Sp.mat: 0.00%",".",IF(VALUE("1.2")=1.2,".",","),2)</f>
        <v>Sp.mat: 0.00%</v>
      </c>
      <c r="F273" s="30" t="str">
        <f>SUBSTITUTE("Sp.man: 0.00%",".",IF(VALUE("1.2")=1.2,".",","),2)</f>
        <v>Sp.man: 0.00%</v>
      </c>
      <c r="G273" s="30" t="str">
        <f>SUBSTITUTE("Sp.uti: 0.00%",".",IF(VALUE("1.2")=1.2,".",","),2)</f>
        <v>Sp.uti: 0.00%</v>
      </c>
    </row>
    <row r="274" spans="1:19" x14ac:dyDescent="0.25">
      <c r="A274" s="50" t="s">
        <v>142</v>
      </c>
      <c r="B274" s="51"/>
      <c r="C274" s="51"/>
      <c r="D274" s="51"/>
      <c r="E274" s="51"/>
      <c r="F274" s="51"/>
      <c r="G274" s="51"/>
    </row>
    <row r="275" spans="1:19" x14ac:dyDescent="0.25">
      <c r="A275" s="51"/>
      <c r="B275" s="51"/>
      <c r="C275" s="51"/>
      <c r="D275" s="51"/>
      <c r="E275" s="51"/>
      <c r="F275" s="51"/>
      <c r="G275" s="51"/>
    </row>
    <row r="276" spans="1:19" x14ac:dyDescent="0.25">
      <c r="A276" s="48" t="s">
        <v>26</v>
      </c>
      <c r="B276" s="49"/>
      <c r="C276" s="49"/>
      <c r="D276" s="49"/>
      <c r="E276" s="49"/>
      <c r="F276" s="49"/>
      <c r="G276" s="49"/>
      <c r="H276" s="32"/>
      <c r="I276" s="33"/>
    </row>
    <row r="277" spans="1:19" x14ac:dyDescent="0.25">
      <c r="B277" s="2">
        <v>54</v>
      </c>
      <c r="C277" s="3" t="s">
        <v>143</v>
      </c>
      <c r="D277" s="5" t="s">
        <v>94</v>
      </c>
      <c r="G277" s="6">
        <v>2</v>
      </c>
    </row>
    <row r="278" spans="1:19" x14ac:dyDescent="0.25">
      <c r="D278" s="30" t="str">
        <f>SUBSTITUTE("Sp.mat: 0.00%",".",IF(VALUE("1.2")=1.2,".",","),2)</f>
        <v>Sp.mat: 0.00%</v>
      </c>
      <c r="F278" s="30" t="str">
        <f>SUBSTITUTE("Sp.man: 0.00%",".",IF(VALUE("1.2")=1.2,".",","),2)</f>
        <v>Sp.man: 0.00%</v>
      </c>
      <c r="G278" s="30" t="str">
        <f>SUBSTITUTE("Sp.uti: 0.00%",".",IF(VALUE("1.2")=1.2,".",","),2)</f>
        <v>Sp.uti: 0.00%</v>
      </c>
    </row>
    <row r="279" spans="1:19" x14ac:dyDescent="0.25">
      <c r="A279" s="50" t="s">
        <v>144</v>
      </c>
      <c r="B279" s="51"/>
      <c r="C279" s="51"/>
      <c r="D279" s="51"/>
      <c r="E279" s="51"/>
      <c r="F279" s="51"/>
      <c r="G279" s="51"/>
    </row>
    <row r="280" spans="1:19" x14ac:dyDescent="0.25">
      <c r="A280" s="51"/>
      <c r="B280" s="51"/>
      <c r="C280" s="51"/>
      <c r="D280" s="51"/>
      <c r="E280" s="51"/>
      <c r="F280" s="51"/>
      <c r="G280" s="51"/>
    </row>
    <row r="281" spans="1:19" x14ac:dyDescent="0.25">
      <c r="A281" s="48" t="s">
        <v>26</v>
      </c>
      <c r="B281" s="49"/>
      <c r="C281" s="49"/>
      <c r="D281" s="49"/>
      <c r="E281" s="49"/>
      <c r="F281" s="49"/>
      <c r="G281" s="49"/>
      <c r="H281" s="32"/>
      <c r="I281" s="33"/>
    </row>
    <row r="282" spans="1:19" x14ac:dyDescent="0.25">
      <c r="B282" s="34" t="s">
        <v>145</v>
      </c>
      <c r="E282" s="4">
        <f>SUMIF(J12:J281,"1",I12:I281)</f>
        <v>0</v>
      </c>
      <c r="F282" s="4">
        <f>SUMIF(J12:J281,"2",I12:I281)</f>
        <v>0</v>
      </c>
      <c r="G282" s="4">
        <f>SUMIF(J12:J281,"3",I12:I281)</f>
        <v>0</v>
      </c>
      <c r="H282" s="4">
        <f>SUMIF(J12:J281,"4",I12:I281)</f>
        <v>0</v>
      </c>
      <c r="I282" s="4">
        <f>SUMIF(J12:J281,"5",I12:I281)</f>
        <v>0</v>
      </c>
      <c r="K282" s="4">
        <f>SUMIF(J12:J281,"3",K12:K281)</f>
        <v>0</v>
      </c>
      <c r="L282" s="4">
        <f>SUMIF(J12:J281,"3",L12:L281)</f>
        <v>0</v>
      </c>
      <c r="M282" s="4">
        <f>SUMIF(J12:J281,"3",M12:M281)</f>
        <v>0</v>
      </c>
      <c r="N282" s="4">
        <f>SUMIF(J12:J281,"4",N12:N281)</f>
        <v>0</v>
      </c>
      <c r="O282" s="4">
        <f>SUMIF(J12:J281,"4",O12:O281)</f>
        <v>0</v>
      </c>
      <c r="P282" s="4">
        <f>SUMIF(J12:J281,"4",P12:P281)</f>
        <v>0</v>
      </c>
      <c r="Q282" s="4">
        <f>SUMIF(J12:J281,"4",Q12:Q281)</f>
        <v>0</v>
      </c>
      <c r="R282" s="4">
        <f>SUMIF(J12:J281,"4",R12:R281)</f>
        <v>0</v>
      </c>
      <c r="S282" s="4">
        <f>SUMIF(J12:J281,"4",S12:S281)</f>
        <v>0</v>
      </c>
    </row>
    <row r="283" spans="1:19" hidden="1" x14ac:dyDescent="0.25">
      <c r="B283" s="34" t="s">
        <v>146</v>
      </c>
    </row>
    <row r="284" spans="1:19" hidden="1" x14ac:dyDescent="0.25">
      <c r="B284" s="34" t="s">
        <v>147</v>
      </c>
      <c r="G284" s="4">
        <f>$K$282*1</f>
        <v>0</v>
      </c>
    </row>
    <row r="285" spans="1:19" hidden="1" x14ac:dyDescent="0.25">
      <c r="B285" s="34" t="s">
        <v>148</v>
      </c>
      <c r="G285" s="4">
        <f>$L$282*1</f>
        <v>0</v>
      </c>
    </row>
    <row r="286" spans="1:19" hidden="1" x14ac:dyDescent="0.25">
      <c r="B286" s="34" t="s">
        <v>149</v>
      </c>
      <c r="G286" s="4">
        <f>G282-G284-G285</f>
        <v>0</v>
      </c>
    </row>
    <row r="287" spans="1:19" hidden="1" x14ac:dyDescent="0.25">
      <c r="B287" s="34" t="s">
        <v>150</v>
      </c>
      <c r="E287" s="4">
        <f>IF("G"="Nu",0*1,0)</f>
        <v>0</v>
      </c>
      <c r="I287" s="4">
        <f>E287</f>
        <v>0</v>
      </c>
    </row>
    <row r="288" spans="1:19" hidden="1" x14ac:dyDescent="0.25">
      <c r="B288" s="34" t="s">
        <v>151</v>
      </c>
      <c r="D288" s="35" t="str">
        <f>CONCATENATE(TEXT(0,REPLACE("#.####",2,1,"."))," x")</f>
        <v>. x</v>
      </c>
      <c r="E288" s="4">
        <f>IF("G"="Nu",0*1,0)</f>
        <v>0</v>
      </c>
      <c r="I288" s="4">
        <f>E288*0</f>
        <v>0</v>
      </c>
    </row>
    <row r="289" spans="2:9" hidden="1" x14ac:dyDescent="0.25">
      <c r="B289" s="34" t="s">
        <v>152</v>
      </c>
      <c r="E289" s="4">
        <f>0</f>
        <v>0</v>
      </c>
      <c r="F289" s="4">
        <f>0</f>
        <v>0</v>
      </c>
      <c r="G289" s="4">
        <f>0</f>
        <v>0</v>
      </c>
      <c r="H289" s="4">
        <f>IF(H282=0,1,H303/H282)</f>
        <v>1</v>
      </c>
    </row>
    <row r="290" spans="2:9" x14ac:dyDescent="0.25">
      <c r="B290" s="34" t="s">
        <v>153</v>
      </c>
      <c r="E290" s="4">
        <v>0</v>
      </c>
      <c r="F290" s="4">
        <v>0</v>
      </c>
      <c r="G290" s="4">
        <v>0</v>
      </c>
      <c r="H290" s="4">
        <f>IF(H282=0,1,H303/H282)-1</f>
        <v>0</v>
      </c>
    </row>
    <row r="291" spans="2:9" x14ac:dyDescent="0.25">
      <c r="B291" s="34" t="s">
        <v>154</v>
      </c>
      <c r="E291" s="4">
        <f>E292-(E282+I287+I288)</f>
        <v>0</v>
      </c>
      <c r="F291" s="4">
        <f>F292-F282</f>
        <v>0</v>
      </c>
      <c r="G291" s="4">
        <f>G292-G282</f>
        <v>0</v>
      </c>
      <c r="H291" s="4">
        <f>H292-H282</f>
        <v>0</v>
      </c>
    </row>
    <row r="292" spans="2:9" x14ac:dyDescent="0.25">
      <c r="B292" s="34" t="s">
        <v>155</v>
      </c>
      <c r="E292" s="4">
        <f>(E282+I287+I288)*E289</f>
        <v>0</v>
      </c>
      <c r="F292" s="4">
        <f>F282*F289</f>
        <v>0</v>
      </c>
      <c r="G292" s="4">
        <f>G282*G289</f>
        <v>0</v>
      </c>
      <c r="H292" s="4">
        <f>H282*H289</f>
        <v>0</v>
      </c>
      <c r="I292" s="4">
        <f>SUM(E292:H292)</f>
        <v>0</v>
      </c>
    </row>
    <row r="293" spans="2:9" x14ac:dyDescent="0.25">
      <c r="B293" s="36" t="s">
        <v>156</v>
      </c>
      <c r="C293" s="37"/>
      <c r="D293" s="38"/>
      <c r="E293" s="39"/>
      <c r="F293" s="39"/>
      <c r="G293" s="40"/>
      <c r="H293" s="31"/>
      <c r="I293" s="41"/>
    </row>
    <row r="294" spans="2:9" hidden="1" x14ac:dyDescent="0.25">
      <c r="B294" s="42" t="str">
        <f>CONCATENATE("  ","Impozit manopera        ")</f>
        <v xml:space="preserve">  Impozit manopera        </v>
      </c>
      <c r="D294" s="35">
        <f>0</f>
        <v>0</v>
      </c>
      <c r="F294" s="4">
        <f>F282*F289*D294</f>
        <v>0</v>
      </c>
      <c r="I294" s="43">
        <f t="shared" ref="I294:I301" si="0">F294</f>
        <v>0</v>
      </c>
    </row>
    <row r="295" spans="2:9" x14ac:dyDescent="0.25">
      <c r="B295" s="42" t="str">
        <f>CONCATENATE("  ","C.A.S.                  ")</f>
        <v xml:space="preserve">  C.A.S.                  </v>
      </c>
      <c r="D295" s="35">
        <f>0</f>
        <v>0</v>
      </c>
      <c r="F295" s="4">
        <f>(F282*F289+F294)*D295</f>
        <v>0</v>
      </c>
      <c r="I295" s="4">
        <f t="shared" si="0"/>
        <v>0</v>
      </c>
    </row>
    <row r="296" spans="2:9" x14ac:dyDescent="0.25">
      <c r="B296" s="42" t="str">
        <f>CONCATENATE("  ","C.A.S.S.                ")</f>
        <v xml:space="preserve">  C.A.S.S.                </v>
      </c>
      <c r="D296" s="35">
        <f>0</f>
        <v>0</v>
      </c>
      <c r="F296" s="4">
        <f>(F282*F289+F294)*D296</f>
        <v>0</v>
      </c>
      <c r="I296" s="4">
        <f t="shared" si="0"/>
        <v>0</v>
      </c>
    </row>
    <row r="297" spans="2:9" x14ac:dyDescent="0.25">
      <c r="B297" s="42" t="str">
        <f>CONCATENATE("  ","Aj.somaj                ")</f>
        <v xml:space="preserve">  Aj.somaj                </v>
      </c>
      <c r="D297" s="35">
        <f>0</f>
        <v>0</v>
      </c>
      <c r="F297" s="4">
        <f>(F282*F289+F294)*D297</f>
        <v>0</v>
      </c>
      <c r="I297" s="4">
        <f t="shared" si="0"/>
        <v>0</v>
      </c>
    </row>
    <row r="298" spans="2:9" x14ac:dyDescent="0.25">
      <c r="B298" s="42" t="str">
        <f>CONCATENATE("  ","Acc. munca, boli profes.")</f>
        <v xml:space="preserve">  Acc. munca, boli profes.</v>
      </c>
      <c r="D298" s="35">
        <f>0</f>
        <v>0</v>
      </c>
      <c r="F298" s="4">
        <f>(F282*F289+F294)*D298</f>
        <v>0</v>
      </c>
      <c r="I298" s="4">
        <f t="shared" si="0"/>
        <v>0</v>
      </c>
    </row>
    <row r="299" spans="2:9" x14ac:dyDescent="0.25">
      <c r="B299" s="42" t="str">
        <f>CONCATENATE("  ","Contr.Concedii Medicale ")</f>
        <v xml:space="preserve">  Contr.Concedii Medicale </v>
      </c>
      <c r="D299" s="35">
        <f>0</f>
        <v>0</v>
      </c>
      <c r="F299" s="4">
        <f>(F282*F289+F294)*D299</f>
        <v>0</v>
      </c>
      <c r="I299" s="4">
        <f t="shared" si="0"/>
        <v>0</v>
      </c>
    </row>
    <row r="300" spans="2:9" x14ac:dyDescent="0.25">
      <c r="B300" s="42" t="str">
        <f>CONCATENATE("  ","Contrib. asig. munca    ")</f>
        <v xml:space="preserve">  Contrib. asig. munca    </v>
      </c>
      <c r="D300" s="35">
        <f>0</f>
        <v>0</v>
      </c>
      <c r="F300" s="4">
        <f>(F282*F289+F294)*D300</f>
        <v>0</v>
      </c>
      <c r="I300" s="4">
        <f t="shared" si="0"/>
        <v>0</v>
      </c>
    </row>
    <row r="301" spans="2:9" x14ac:dyDescent="0.25">
      <c r="B301" s="42" t="str">
        <f>CONCATENATE("  ","Fond garantare salarii  ")</f>
        <v xml:space="preserve">  Fond garantare salarii  </v>
      </c>
      <c r="D301" s="35">
        <f>0</f>
        <v>0</v>
      </c>
      <c r="F301" s="4">
        <f>(F282*F289+F294)*D301</f>
        <v>0</v>
      </c>
      <c r="I301" s="4">
        <f t="shared" si="0"/>
        <v>0</v>
      </c>
    </row>
    <row r="302" spans="2:9" hidden="1" x14ac:dyDescent="0.25">
      <c r="B302" s="42" t="str">
        <f>CONCATENATE("  ","Chelt.tr.aprov.,depozit.")</f>
        <v xml:space="preserve">  Chelt.tr.aprov.,depozit.</v>
      </c>
      <c r="D302" s="35">
        <f>0</f>
        <v>0</v>
      </c>
      <c r="E302" s="4">
        <f>(E282+I287+I288)*E289*D302</f>
        <v>0</v>
      </c>
      <c r="I302" s="4">
        <f>E302</f>
        <v>0</v>
      </c>
    </row>
    <row r="303" spans="2:9" x14ac:dyDescent="0.25">
      <c r="B303" s="36" t="s">
        <v>157</v>
      </c>
      <c r="C303" s="37"/>
      <c r="D303" s="38"/>
      <c r="E303" s="41">
        <f>(E282+I287+I288)*E289+E302</f>
        <v>0</v>
      </c>
      <c r="F303" s="41">
        <f>F282*F289+F294+F295+F296+F297+F298+F299+F300+F301</f>
        <v>0</v>
      </c>
      <c r="G303" s="41">
        <f>G282*G289</f>
        <v>0</v>
      </c>
      <c r="H303" s="41">
        <f>($N$282*0+$O$282*0+$P$282*0)*1</f>
        <v>0</v>
      </c>
      <c r="I303" s="41">
        <f>SUM(E303:H303)</f>
        <v>0</v>
      </c>
    </row>
    <row r="304" spans="2:9" x14ac:dyDescent="0.25">
      <c r="B304" s="36" t="s">
        <v>158</v>
      </c>
      <c r="C304" s="37"/>
      <c r="D304" s="44">
        <f>0</f>
        <v>0</v>
      </c>
      <c r="E304" s="39" t="s">
        <v>159</v>
      </c>
      <c r="F304" s="39"/>
      <c r="G304" s="40"/>
      <c r="H304" s="31"/>
      <c r="I304" s="41">
        <f>I303*D304</f>
        <v>0</v>
      </c>
    </row>
    <row r="305" spans="1:9" x14ac:dyDescent="0.25">
      <c r="B305" s="36" t="s">
        <v>160</v>
      </c>
      <c r="C305" s="37"/>
      <c r="D305" s="44">
        <f>0</f>
        <v>0</v>
      </c>
      <c r="E305" s="39" t="s">
        <v>161</v>
      </c>
      <c r="F305" s="39"/>
      <c r="G305" s="40"/>
      <c r="H305" s="31"/>
      <c r="I305" s="41">
        <f>(I303+I304)*D305</f>
        <v>0</v>
      </c>
    </row>
    <row r="306" spans="1:9" hidden="1" x14ac:dyDescent="0.25">
      <c r="B306" s="34" t="s">
        <v>150</v>
      </c>
      <c r="D306" s="39" t="str">
        <f>CONCATENATE(TEXT(0,REPLACE("#.####",2,1,"."))," x")</f>
        <v>. x</v>
      </c>
      <c r="E306" s="4">
        <f>IF("G"="Nu",0*1,0)</f>
        <v>0</v>
      </c>
      <c r="I306" s="4">
        <f>E306*0</f>
        <v>0</v>
      </c>
    </row>
    <row r="307" spans="1:9" hidden="1" x14ac:dyDescent="0.25">
      <c r="B307" s="34" t="s">
        <v>151</v>
      </c>
      <c r="D307" s="35" t="str">
        <f>CONCATENATE(TEXT(0,REPLACE("#.####",2,1,"."))," x ",TEXT(0,REPLACE("#.####",2,1,"."))," x")</f>
        <v>. x . x</v>
      </c>
      <c r="E307" s="4">
        <f>IF("G"="Nu",0*1,0)</f>
        <v>0</v>
      </c>
      <c r="I307" s="4">
        <f>E307*0*0</f>
        <v>0</v>
      </c>
    </row>
    <row r="308" spans="1:9" x14ac:dyDescent="0.25">
      <c r="B308" s="36" t="s">
        <v>162</v>
      </c>
      <c r="C308" s="37"/>
      <c r="D308" s="45" t="s">
        <v>163</v>
      </c>
      <c r="E308" s="39"/>
      <c r="F308" s="39"/>
      <c r="G308" s="40"/>
      <c r="H308" s="31"/>
      <c r="I308" s="41">
        <f>I303+I304+I305+I306+I307</f>
        <v>0</v>
      </c>
    </row>
    <row r="309" spans="1:9" x14ac:dyDescent="0.25">
      <c r="B309" s="46" t="s">
        <v>164</v>
      </c>
      <c r="C309" s="37"/>
      <c r="D309" s="38"/>
      <c r="E309" s="39"/>
      <c r="F309" s="39"/>
      <c r="G309" s="40"/>
      <c r="H309" s="31"/>
      <c r="I309" s="41"/>
    </row>
    <row r="311" spans="1:9" x14ac:dyDescent="0.25">
      <c r="A311" s="47" t="s">
        <v>165</v>
      </c>
    </row>
  </sheetData>
  <mergeCells count="113">
    <mergeCell ref="A1:D1"/>
    <mergeCell ref="A2:I2"/>
    <mergeCell ref="A3:I3"/>
    <mergeCell ref="A4:I4"/>
    <mergeCell ref="A5:H5"/>
    <mergeCell ref="A14:G15"/>
    <mergeCell ref="A31:G31"/>
    <mergeCell ref="A34:G35"/>
    <mergeCell ref="A36:G36"/>
    <mergeCell ref="A39:G40"/>
    <mergeCell ref="A41:G41"/>
    <mergeCell ref="A44:G45"/>
    <mergeCell ref="A16:G16"/>
    <mergeCell ref="A19:G20"/>
    <mergeCell ref="A21:G21"/>
    <mergeCell ref="A24:G25"/>
    <mergeCell ref="A26:G26"/>
    <mergeCell ref="A29:G30"/>
    <mergeCell ref="A61:G61"/>
    <mergeCell ref="A64:G65"/>
    <mergeCell ref="A66:G66"/>
    <mergeCell ref="A69:G70"/>
    <mergeCell ref="A71:G71"/>
    <mergeCell ref="A74:G75"/>
    <mergeCell ref="A46:G46"/>
    <mergeCell ref="A49:G50"/>
    <mergeCell ref="A51:G51"/>
    <mergeCell ref="A54:G55"/>
    <mergeCell ref="A56:G56"/>
    <mergeCell ref="A59:G60"/>
    <mergeCell ref="A91:G91"/>
    <mergeCell ref="A94:G95"/>
    <mergeCell ref="A96:G96"/>
    <mergeCell ref="A99:G100"/>
    <mergeCell ref="A101:G101"/>
    <mergeCell ref="A104:G105"/>
    <mergeCell ref="A76:G76"/>
    <mergeCell ref="A79:G80"/>
    <mergeCell ref="A81:G81"/>
    <mergeCell ref="A84:G85"/>
    <mergeCell ref="A86:G86"/>
    <mergeCell ref="A89:G90"/>
    <mergeCell ref="A121:G121"/>
    <mergeCell ref="A124:G125"/>
    <mergeCell ref="A126:G126"/>
    <mergeCell ref="A129:G130"/>
    <mergeCell ref="A131:G131"/>
    <mergeCell ref="A134:G135"/>
    <mergeCell ref="A106:G106"/>
    <mergeCell ref="A109:G110"/>
    <mergeCell ref="A111:G111"/>
    <mergeCell ref="A114:G115"/>
    <mergeCell ref="A116:G116"/>
    <mergeCell ref="A119:G120"/>
    <mergeCell ref="A151:G151"/>
    <mergeCell ref="A154:G155"/>
    <mergeCell ref="A156:G156"/>
    <mergeCell ref="A159:G160"/>
    <mergeCell ref="A161:G161"/>
    <mergeCell ref="A164:G165"/>
    <mergeCell ref="A136:G136"/>
    <mergeCell ref="A139:G140"/>
    <mergeCell ref="A141:G141"/>
    <mergeCell ref="A144:G145"/>
    <mergeCell ref="A146:G146"/>
    <mergeCell ref="A149:G150"/>
    <mergeCell ref="A181:G181"/>
    <mergeCell ref="A184:G185"/>
    <mergeCell ref="A186:G186"/>
    <mergeCell ref="A189:G190"/>
    <mergeCell ref="A191:G191"/>
    <mergeCell ref="A194:G195"/>
    <mergeCell ref="A166:G166"/>
    <mergeCell ref="A169:G170"/>
    <mergeCell ref="A171:G171"/>
    <mergeCell ref="A174:G175"/>
    <mergeCell ref="A176:G176"/>
    <mergeCell ref="A179:G180"/>
    <mergeCell ref="A211:G211"/>
    <mergeCell ref="A214:G215"/>
    <mergeCell ref="A216:G216"/>
    <mergeCell ref="A219:G220"/>
    <mergeCell ref="A221:G221"/>
    <mergeCell ref="A224:G225"/>
    <mergeCell ref="A196:G196"/>
    <mergeCell ref="A199:G200"/>
    <mergeCell ref="A201:G201"/>
    <mergeCell ref="A204:G205"/>
    <mergeCell ref="A206:G206"/>
    <mergeCell ref="A209:G210"/>
    <mergeCell ref="A241:G241"/>
    <mergeCell ref="A244:G245"/>
    <mergeCell ref="A246:G246"/>
    <mergeCell ref="A249:G250"/>
    <mergeCell ref="A251:G251"/>
    <mergeCell ref="A254:G255"/>
    <mergeCell ref="A226:G226"/>
    <mergeCell ref="A229:G230"/>
    <mergeCell ref="A231:G231"/>
    <mergeCell ref="A234:G235"/>
    <mergeCell ref="A236:G236"/>
    <mergeCell ref="A239:G240"/>
    <mergeCell ref="A271:G271"/>
    <mergeCell ref="A274:G275"/>
    <mergeCell ref="A276:G276"/>
    <mergeCell ref="A279:G280"/>
    <mergeCell ref="A281:G281"/>
    <mergeCell ref="A256:G256"/>
    <mergeCell ref="A259:G260"/>
    <mergeCell ref="A261:G261"/>
    <mergeCell ref="A264:G265"/>
    <mergeCell ref="A266:G266"/>
    <mergeCell ref="A269:G270"/>
  </mergeCells>
  <printOptions horizontalCentered="1"/>
  <pageMargins left="0.4" right="0.2" top="0.4" bottom="0.7" header="0.4" footer="0.5"/>
  <pageSetup paperSize="9" orientation="portrait" r:id="rId1"/>
  <headerFooter>
    <oddFooter>&amp;L&amp;"Lucida Handwriting"&amp;08Sistem informatic proiectat de SofteH Plus srl. Tel:323.78.37&amp;R&amp;"Lucida Handwriting"&amp;08Data listarii:&amp;D  &amp;BPag.&amp;P</oddFooter>
  </headerFooter>
  <rowBreaks count="6" manualBreakCount="6">
    <brk id="46" max="16383" man="1"/>
    <brk id="91" max="16383" man="1"/>
    <brk id="136" max="16383" man="1"/>
    <brk id="181" max="16383" man="1"/>
    <brk id="226" max="16383" man="1"/>
    <brk id="2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O.101 D.101</vt:lpstr>
      <vt:lpstr>'O.101 D.101'!Print_Titles</vt:lpstr>
    </vt:vector>
  </TitlesOfParts>
  <Company>Ministerul Apararii Nationale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Simulete Constantin</dc:creator>
  <cp:lastModifiedBy>Scutaru Marius</cp:lastModifiedBy>
  <dcterms:created xsi:type="dcterms:W3CDTF">2026-09-14T05:18:58Z</dcterms:created>
  <dcterms:modified xsi:type="dcterms:W3CDTF">2026-09-23T07:44:06Z</dcterms:modified>
</cp:coreProperties>
</file>