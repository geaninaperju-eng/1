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ulete.constantin\Desktop\20260914_N_A###Tehnic pavH 1164Rasnov\"/>
    </mc:Choice>
  </mc:AlternateContent>
  <xr:revisionPtr revIDLastSave="0" documentId="8_{61272E0C-5102-449C-9F30-95A4751658EB}" xr6:coauthVersionLast="47" xr6:coauthVersionMax="47" xr10:uidLastSave="{00000000-0000-0000-0000-000000000000}"/>
  <bookViews>
    <workbookView xWindow="5380" yWindow="5380" windowWidth="28800" windowHeight="15370" xr2:uid="{BC850CA6-741C-42A7-AC43-6F2356113F27}"/>
  </bookViews>
  <sheets>
    <sheet name="Inv.101" sheetId="1" r:id="rId1"/>
  </sheets>
  <definedNames>
    <definedName name="_xlnm.Print_Titles" localSheetId="0">Inv.101!$A:$A,Inv.101!$9:$9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F8" i="1"/>
  <c r="J4" i="1"/>
  <c r="J3" i="1"/>
  <c r="J2" i="1"/>
  <c r="J1" i="1"/>
</calcChain>
</file>

<file path=xl/sharedStrings.xml><?xml version="1.0" encoding="utf-8"?>
<sst xmlns="http://schemas.openxmlformats.org/spreadsheetml/2006/main" count="31" uniqueCount="31">
  <si>
    <t>Ordin marime</t>
  </si>
  <si>
    <t>Moneda</t>
  </si>
  <si>
    <t>Curs</t>
  </si>
  <si>
    <t>Zecimale</t>
  </si>
  <si>
    <t xml:space="preserve">   </t>
  </si>
  <si>
    <t>Formular F1</t>
  </si>
  <si>
    <r>
      <t xml:space="preserve">Obiectiv: 101 </t>
    </r>
    <r>
      <rPr>
        <sz val="10"/>
        <color theme="1"/>
        <rFont val="Calibri"/>
        <family val="2"/>
        <scheme val="minor"/>
      </rPr>
      <t>RC PAV H CAZARMA 1164 RASNOV</t>
    </r>
  </si>
  <si>
    <t>CENTRALIZATORUL_x000D_
cheltuielilor pe obiectiv</t>
  </si>
  <si>
    <t>Nr.</t>
  </si>
  <si>
    <t>Nr. cap./</t>
  </si>
  <si>
    <t>Denumirea capitolelor</t>
  </si>
  <si>
    <t>Val., chelt. / obiect</t>
  </si>
  <si>
    <t>din care C + M</t>
  </si>
  <si>
    <t>crt.</t>
  </si>
  <si>
    <t>subcap</t>
  </si>
  <si>
    <t>de cheltuieli</t>
  </si>
  <si>
    <t>exclusiv TVA</t>
  </si>
  <si>
    <t>deviz</t>
  </si>
  <si>
    <t>general</t>
  </si>
  <si>
    <t>0</t>
  </si>
  <si>
    <t>1</t>
  </si>
  <si>
    <t>4</t>
  </si>
  <si>
    <t>Cheltuieli pentru investitia de baza</t>
  </si>
  <si>
    <t xml:space="preserve"> 6.1</t>
  </si>
  <si>
    <t>101</t>
  </si>
  <si>
    <t>RC PAVILION H</t>
  </si>
  <si>
    <t>TOTAL capitol/ subcapitol</t>
  </si>
  <si>
    <t>TOTAL valoare (exclusiv TVA)</t>
  </si>
  <si>
    <t>Taxa pe valoarea adaugata</t>
  </si>
  <si>
    <t>Total valoare (inclusiv TVA)</t>
  </si>
  <si>
    <t xml:space="preserve">                                                                                    OFERTANT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</si>
</sst>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"/>
    <numFmt numFmtId="165" formatCode="#,##0.00%;\ &quot; &quot;"/>
    <numFmt numFmtId="166" formatCode="#,##0.000"/>
    <numFmt numFmtId="167" formatCode="#,##0.000%;\ &quot; &quot;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Lucida Handwriting"/>
    </font>
    <font>
      <b/>
      <sz val="16"/>
      <color theme="1"/>
      <name val="Lucida Handwriting"/>
    </font>
    <font>
      <b/>
      <i/>
      <sz val="16"/>
      <color theme="1"/>
      <name val="Lucida Handwriting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ourier New"/>
      <family val="3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1">
    <xf numFmtId="0" fontId="0" fillId="0" borderId="0"/>
    <xf numFmtId="49" fontId="2" fillId="0" borderId="0" applyFill="0" applyBorder="0" applyProtection="0">
      <alignment horizontal="left" vertical="center" wrapText="1"/>
    </xf>
    <xf numFmtId="49" fontId="3" fillId="0" borderId="0" applyFill="0" applyBorder="0" applyProtection="0">
      <alignment horizontal="left" vertical="center" wrapText="1"/>
    </xf>
    <xf numFmtId="49" fontId="5" fillId="0" borderId="0" applyFill="0" applyBorder="0" applyProtection="0">
      <alignment horizontal="center" vertical="center" wrapText="1"/>
    </xf>
    <xf numFmtId="0" fontId="7" fillId="0" borderId="0" applyNumberFormat="0" applyFill="0" applyBorder="0" applyProtection="0">
      <alignment horizontal="center"/>
    </xf>
    <xf numFmtId="49" fontId="7" fillId="0" borderId="0" applyFill="0" applyBorder="0" applyProtection="0">
      <alignment horizontal="center" vertical="center"/>
    </xf>
    <xf numFmtId="49" fontId="7" fillId="0" borderId="0" applyFill="0" applyBorder="0" applyProtection="0">
      <alignment horizontal="left" vertical="center" wrapText="1"/>
    </xf>
    <xf numFmtId="49" fontId="7" fillId="0" borderId="0" applyFill="0" applyBorder="0" applyProtection="0">
      <alignment horizontal="left" vertical="center" wrapText="1"/>
    </xf>
    <xf numFmtId="49" fontId="8" fillId="0" borderId="0" applyFill="0" applyBorder="0" applyProtection="0">
      <alignment horizontal="left" vertical="center"/>
    </xf>
    <xf numFmtId="4" fontId="7" fillId="0" borderId="0" applyFill="0" applyBorder="0" applyProtection="0">
      <alignment horizontal="right" vertical="center"/>
    </xf>
    <xf numFmtId="4" fontId="7" fillId="0" borderId="0" applyFill="0" applyBorder="0" applyProtection="0">
      <alignment horizontal="center" vertical="center"/>
    </xf>
    <xf numFmtId="164" fontId="7" fillId="0" borderId="0" applyFill="0" applyBorder="0" applyProtection="0">
      <alignment vertical="center"/>
    </xf>
    <xf numFmtId="165" fontId="8" fillId="0" borderId="0" applyFill="0" applyBorder="0" applyProtection="0">
      <alignment horizontal="right" vertical="center"/>
    </xf>
    <xf numFmtId="49" fontId="9" fillId="0" borderId="0" applyFill="0" applyBorder="0" applyProtection="0">
      <alignment horizontal="left"/>
    </xf>
    <xf numFmtId="165" fontId="10" fillId="0" borderId="0" applyFill="0" applyBorder="0" applyAlignment="0" applyProtection="0">
      <alignment vertical="center"/>
    </xf>
    <xf numFmtId="166" fontId="7" fillId="0" borderId="0" applyFill="0" applyBorder="0" applyAlignment="0" applyProtection="0"/>
    <xf numFmtId="164" fontId="6" fillId="0" borderId="0" applyFill="0" applyBorder="0" applyAlignment="0" applyProtection="0"/>
    <xf numFmtId="166" fontId="6" fillId="0" borderId="0" applyFill="0" applyBorder="0" applyAlignment="0" applyProtection="0"/>
    <xf numFmtId="4" fontId="6" fillId="0" borderId="0" applyFill="0" applyBorder="0" applyAlignment="0" applyProtection="0"/>
    <xf numFmtId="167" fontId="7" fillId="0" borderId="0" applyFill="0" applyBorder="0" applyProtection="0">
      <alignment horizontal="right"/>
    </xf>
    <xf numFmtId="49" fontId="7" fillId="0" borderId="0" applyFill="0" applyBorder="0" applyProtection="0"/>
  </cellStyleXfs>
  <cellXfs count="40">
    <xf numFmtId="0" fontId="0" fillId="0" borderId="0" xfId="0"/>
    <xf numFmtId="49" fontId="7" fillId="0" borderId="0" xfId="5">
      <alignment horizontal="center" vertical="center"/>
    </xf>
    <xf numFmtId="49" fontId="7" fillId="0" borderId="0" xfId="6">
      <alignment horizontal="left" vertical="center" wrapText="1"/>
    </xf>
    <xf numFmtId="49" fontId="7" fillId="0" borderId="0" xfId="7">
      <alignment horizontal="left" vertical="center" wrapText="1"/>
    </xf>
    <xf numFmtId="4" fontId="7" fillId="0" borderId="0" xfId="9">
      <alignment horizontal="right" vertical="center"/>
    </xf>
    <xf numFmtId="49" fontId="7" fillId="0" borderId="0" xfId="6">
      <alignment horizontal="left" vertical="center" wrapText="1"/>
    </xf>
    <xf numFmtId="49" fontId="3" fillId="0" borderId="0" xfId="2">
      <alignment horizontal="left" vertical="center" wrapText="1"/>
    </xf>
    <xf numFmtId="49" fontId="11" fillId="0" borderId="0" xfId="1" applyFont="1">
      <alignment horizontal="left" vertical="center" wrapText="1"/>
    </xf>
    <xf numFmtId="49" fontId="7" fillId="0" borderId="0" xfId="5">
      <alignment horizontal="center" vertical="center"/>
    </xf>
    <xf numFmtId="49" fontId="4" fillId="0" borderId="0" xfId="3" applyFont="1">
      <alignment horizontal="center" vertical="center" wrapText="1"/>
    </xf>
    <xf numFmtId="49" fontId="7" fillId="0" borderId="1" xfId="5" applyBorder="1">
      <alignment horizontal="center" vertical="center"/>
    </xf>
    <xf numFmtId="49" fontId="7" fillId="0" borderId="1" xfId="6" applyBorder="1">
      <alignment horizontal="left" vertical="center" wrapText="1"/>
    </xf>
    <xf numFmtId="49" fontId="7" fillId="0" borderId="1" xfId="7" applyBorder="1">
      <alignment horizontal="left" vertical="center" wrapText="1"/>
    </xf>
    <xf numFmtId="4" fontId="7" fillId="0" borderId="1" xfId="9" applyBorder="1">
      <alignment horizontal="right" vertical="center"/>
    </xf>
    <xf numFmtId="49" fontId="7" fillId="0" borderId="1" xfId="4" applyNumberFormat="1" applyBorder="1">
      <alignment horizontal="center"/>
    </xf>
    <xf numFmtId="4" fontId="7" fillId="0" borderId="1" xfId="4" applyNumberFormat="1" applyBorder="1">
      <alignment horizontal="center"/>
    </xf>
    <xf numFmtId="49" fontId="7" fillId="0" borderId="0" xfId="4" applyNumberFormat="1">
      <alignment horizontal="center"/>
    </xf>
    <xf numFmtId="0" fontId="7" fillId="0" borderId="0" xfId="4">
      <alignment horizontal="center"/>
    </xf>
    <xf numFmtId="4" fontId="7" fillId="0" borderId="0" xfId="4" applyNumberFormat="1">
      <alignment horizontal="center"/>
    </xf>
    <xf numFmtId="49" fontId="7" fillId="0" borderId="1" xfId="4" applyNumberFormat="1" applyBorder="1">
      <alignment horizontal="center"/>
    </xf>
    <xf numFmtId="49" fontId="7" fillId="0" borderId="0" xfId="4" applyNumberFormat="1">
      <alignment horizontal="center"/>
    </xf>
    <xf numFmtId="1" fontId="7" fillId="0" borderId="2" xfId="4" applyNumberFormat="1" applyBorder="1">
      <alignment horizontal="center"/>
    </xf>
    <xf numFmtId="1" fontId="7" fillId="0" borderId="2" xfId="4" applyNumberFormat="1" applyBorder="1">
      <alignment horizontal="center"/>
    </xf>
    <xf numFmtId="49" fontId="2" fillId="0" borderId="1" xfId="1" applyBorder="1">
      <alignment horizontal="left" vertical="center" wrapText="1"/>
    </xf>
    <xf numFmtId="49" fontId="2" fillId="0" borderId="1" xfId="1" applyBorder="1">
      <alignment horizontal="left" vertical="center" wrapText="1"/>
    </xf>
    <xf numFmtId="49" fontId="7" fillId="0" borderId="3" xfId="5" applyBorder="1">
      <alignment horizontal="center" vertical="center"/>
    </xf>
    <xf numFmtId="49" fontId="7" fillId="0" borderId="3" xfId="6" applyBorder="1">
      <alignment horizontal="left" vertical="center" wrapText="1"/>
    </xf>
    <xf numFmtId="49" fontId="7" fillId="0" borderId="3" xfId="7" applyBorder="1">
      <alignment horizontal="left" vertical="center" wrapText="1"/>
    </xf>
    <xf numFmtId="0" fontId="0" fillId="0" borderId="3" xfId="0" applyBorder="1"/>
    <xf numFmtId="4" fontId="7" fillId="0" borderId="3" xfId="9" applyBorder="1">
      <alignment horizontal="right" vertical="center"/>
    </xf>
    <xf numFmtId="49" fontId="7" fillId="0" borderId="1" xfId="5" applyFont="1" applyBorder="1">
      <alignment horizontal="center" vertical="center"/>
    </xf>
    <xf numFmtId="49" fontId="7" fillId="0" borderId="1" xfId="6" applyFont="1" applyBorder="1">
      <alignment horizontal="left" vertical="center" wrapText="1"/>
    </xf>
    <xf numFmtId="49" fontId="7" fillId="0" borderId="1" xfId="7" applyFont="1" applyBorder="1">
      <alignment horizontal="left" vertical="center" wrapText="1"/>
    </xf>
    <xf numFmtId="0" fontId="1" fillId="0" borderId="1" xfId="0" applyFont="1" applyBorder="1"/>
    <xf numFmtId="4" fontId="7" fillId="0" borderId="1" xfId="9" applyFont="1" applyBorder="1">
      <alignment horizontal="right" vertical="center"/>
    </xf>
    <xf numFmtId="0" fontId="0" fillId="0" borderId="1" xfId="0" applyBorder="1"/>
    <xf numFmtId="49" fontId="7" fillId="0" borderId="1" xfId="7" applyBorder="1">
      <alignment horizontal="left" vertical="center" wrapText="1"/>
    </xf>
    <xf numFmtId="0" fontId="0" fillId="0" borderId="0" xfId="0"/>
    <xf numFmtId="49" fontId="7" fillId="0" borderId="0" xfId="7">
      <alignment horizontal="left" vertical="center" wrapText="1"/>
    </xf>
    <xf numFmtId="49" fontId="12" fillId="0" borderId="0" xfId="6" applyNumberFormat="1" applyFont="1" applyAlignment="1">
      <alignment vertical="center"/>
    </xf>
  </cellXfs>
  <cellStyles count="21">
    <cellStyle name="Antet" xfId="1" xr:uid="{B1B97F90-969F-4230-9175-340F2A4C1B35}"/>
    <cellStyle name="Cantitate" xfId="11" xr:uid="{2A30CA86-7D60-4A64-858F-9D8873F96DC1}"/>
    <cellStyle name="CapTabel" xfId="4" xr:uid="{46AC6E8D-64ED-452A-B23F-C8B2BA1F5251}"/>
    <cellStyle name="Cod" xfId="6" xr:uid="{78211551-42A6-481B-9259-0E620BA2CEFB}"/>
    <cellStyle name="Denum" xfId="8" xr:uid="{B9FB20CA-31E5-4F62-83B4-20701655062B}"/>
    <cellStyle name="Denumire" xfId="7" xr:uid="{BACB3E76-B3DC-483E-B299-D5C6378276D9}"/>
    <cellStyle name="DenumireRaport" xfId="2" xr:uid="{DDB24580-2DB4-43EA-B610-5FA67E432EEF}"/>
    <cellStyle name="Greutate" xfId="15" xr:uid="{E733E62B-2BA4-4E11-B849-014EE1EE9E4A}"/>
    <cellStyle name="kmparcurs" xfId="17" xr:uid="{30FEB802-ED04-49F6-8B3D-86D3027CD9BB}"/>
    <cellStyle name="Normal" xfId="0" builtinId="0"/>
    <cellStyle name="NrCrt" xfId="5" xr:uid="{5DE813F0-916C-4016-B4FB-21115C646084}"/>
    <cellStyle name="orefunc" xfId="18" xr:uid="{B65426D0-FAE1-4C8E-AE95-3A28BA7F9249}"/>
    <cellStyle name="Pondere" xfId="10" xr:uid="{B06348F5-D5EB-4C2E-844C-53CFDADF72C3}"/>
    <cellStyle name="Procente" xfId="19" xr:uid="{E7CA7F7F-4338-4B72-9135-593B9F2A9BC5}"/>
    <cellStyle name="Recapit" xfId="13" xr:uid="{D957A3F9-5228-4547-983F-FABF8A452F12}"/>
    <cellStyle name="RecCoef" xfId="14" xr:uid="{AE344973-AC83-4264-9D95-EAFA9E9D8EB1}"/>
    <cellStyle name="Sporuri" xfId="12" xr:uid="{376C5B65-1230-44A1-BD02-283DFB00ACA9}"/>
    <cellStyle name="Text" xfId="20" xr:uid="{678EDA19-7174-42DD-AB2C-DA6DA88BBD0D}"/>
    <cellStyle name="TitluRap" xfId="3" xr:uid="{14D86089-950A-4FD6-B9C4-BF2A9007C8BF}"/>
    <cellStyle name="tonaj" xfId="16" xr:uid="{A915D42E-7C0D-48B4-B05E-24B6FEF4CFCB}"/>
    <cellStyle name="Valoare" xfId="9" xr:uid="{A3AEB0E5-63F6-4E47-9530-971E621550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8DE4-C520-4297-9AE3-7AA13FA7F6CA}">
  <dimension ref="A1:K17"/>
  <sheetViews>
    <sheetView tabSelected="1" topLeftCell="B1" workbookViewId="0">
      <selection activeCell="K15" sqref="K15"/>
    </sheetView>
  </sheetViews>
  <sheetFormatPr defaultRowHeight="14.5" outlineLevelCol="1"/>
  <cols>
    <col min="1" max="1" width="2.6328125" style="1" hidden="1" customWidth="1"/>
    <col min="2" max="2" width="16.08984375" style="2" customWidth="1"/>
    <col min="3" max="3" width="48.36328125" style="3" customWidth="1"/>
    <col min="4" max="5" width="16.08984375" customWidth="1"/>
    <col min="6" max="7" width="16.08984375" style="4" customWidth="1"/>
    <col min="8" max="10" width="10.6328125" hidden="1" customWidth="1" outlineLevel="1"/>
    <col min="11" max="11" width="8.7265625" collapsed="1"/>
  </cols>
  <sheetData>
    <row r="1" spans="1:10" ht="23" customHeight="1">
      <c r="B1" s="6" t="s">
        <v>5</v>
      </c>
      <c r="C1" s="5"/>
      <c r="H1" t="s">
        <v>0</v>
      </c>
      <c r="I1">
        <v>1</v>
      </c>
      <c r="J1">
        <f>IF(OR(I1=1000,I1=1000000),I1,1)</f>
        <v>1</v>
      </c>
    </row>
    <row r="2" spans="1:10">
      <c r="B2" s="7" t="s">
        <v>6</v>
      </c>
      <c r="C2" s="5"/>
      <c r="D2" s="5"/>
      <c r="E2" s="5"/>
      <c r="F2" s="5"/>
      <c r="G2" s="5"/>
      <c r="H2" t="s">
        <v>1</v>
      </c>
      <c r="I2" t="s">
        <v>4</v>
      </c>
      <c r="J2" t="str">
        <f>I2</f>
        <v xml:space="preserve">   </v>
      </c>
    </row>
    <row r="3" spans="1:10">
      <c r="H3" t="s">
        <v>2</v>
      </c>
      <c r="I3">
        <v>1</v>
      </c>
      <c r="J3">
        <f>IF(I3&lt;=0,1,I3)</f>
        <v>1</v>
      </c>
    </row>
    <row r="4" spans="1:10" ht="40" customHeight="1" thickBot="1">
      <c r="A4" s="9" t="s">
        <v>7</v>
      </c>
      <c r="B4" s="8"/>
      <c r="C4" s="8"/>
      <c r="D4" s="8"/>
      <c r="E4" s="8"/>
      <c r="F4" s="8"/>
      <c r="G4" s="8"/>
      <c r="H4" t="s">
        <v>3</v>
      </c>
      <c r="I4">
        <v>2</v>
      </c>
      <c r="J4">
        <f>I4</f>
        <v>2</v>
      </c>
    </row>
    <row r="5" spans="1:10">
      <c r="A5" s="14" t="s">
        <v>8</v>
      </c>
      <c r="B5" s="14" t="s">
        <v>9</v>
      </c>
      <c r="C5" s="19" t="s">
        <v>10</v>
      </c>
      <c r="D5" s="19"/>
      <c r="E5" s="19"/>
      <c r="F5" s="15" t="s">
        <v>11</v>
      </c>
      <c r="G5" s="15" t="s">
        <v>12</v>
      </c>
    </row>
    <row r="6" spans="1:10">
      <c r="A6" s="16" t="s">
        <v>13</v>
      </c>
      <c r="B6" s="16" t="s">
        <v>14</v>
      </c>
      <c r="C6" s="20" t="s">
        <v>15</v>
      </c>
      <c r="D6" s="20"/>
      <c r="E6" s="20"/>
      <c r="F6" s="18" t="s">
        <v>16</v>
      </c>
      <c r="G6" s="18"/>
    </row>
    <row r="7" spans="1:10">
      <c r="A7" s="16"/>
      <c r="B7" s="16" t="s">
        <v>17</v>
      </c>
      <c r="C7" s="16"/>
      <c r="D7" s="17"/>
      <c r="E7" s="17"/>
      <c r="F7" s="18"/>
      <c r="G7" s="18"/>
    </row>
    <row r="8" spans="1:10" ht="15" thickBot="1">
      <c r="A8" s="16"/>
      <c r="B8" s="16" t="s">
        <v>18</v>
      </c>
      <c r="C8" s="16"/>
      <c r="D8" s="17"/>
      <c r="E8" s="17"/>
      <c r="F8" s="18" t="str">
        <f>CONCATENATE(IF(J1=1000,"Mii ",IF(J1=1000000,"Milioane ",""))," ron ")</f>
        <v xml:space="preserve"> ron </v>
      </c>
      <c r="G8" s="18" t="str">
        <f>CONCATENATE(IF(L1=1000,"Mii ",IF(L1=1000000,"Milioane ",""))," ron ")</f>
        <v xml:space="preserve"> ron </v>
      </c>
    </row>
    <row r="9" spans="1:10" ht="15" thickBot="1">
      <c r="A9" s="21" t="s">
        <v>19</v>
      </c>
      <c r="B9" s="22" t="s">
        <v>20</v>
      </c>
      <c r="C9" s="22"/>
      <c r="D9" s="21"/>
      <c r="E9" s="21"/>
      <c r="F9" s="21">
        <v>2</v>
      </c>
      <c r="G9" s="21">
        <f>F9+1</f>
        <v>3</v>
      </c>
    </row>
    <row r="10" spans="1:10">
      <c r="A10" s="10">
        <v>6</v>
      </c>
      <c r="B10" s="23" t="s">
        <v>21</v>
      </c>
      <c r="C10" s="24" t="s">
        <v>22</v>
      </c>
      <c r="D10" s="24"/>
      <c r="E10" s="24"/>
      <c r="F10" s="24"/>
      <c r="G10" s="24"/>
    </row>
    <row r="11" spans="1:10" ht="15" thickBot="1">
      <c r="A11" s="25" t="s">
        <v>23</v>
      </c>
      <c r="B11" s="26" t="s">
        <v>24</v>
      </c>
      <c r="C11" s="27" t="s">
        <v>25</v>
      </c>
      <c r="D11" s="28"/>
      <c r="E11" s="28"/>
      <c r="F11" s="29"/>
      <c r="G11" s="29"/>
    </row>
    <row r="12" spans="1:10" ht="15" thickBot="1">
      <c r="A12" s="30"/>
      <c r="B12" s="31"/>
      <c r="C12" s="32" t="s">
        <v>26</v>
      </c>
      <c r="D12" s="33"/>
      <c r="E12" s="33"/>
      <c r="F12" s="34"/>
      <c r="G12" s="34"/>
    </row>
    <row r="13" spans="1:10">
      <c r="A13" s="10"/>
      <c r="B13" s="11"/>
      <c r="C13" s="12"/>
      <c r="D13" s="36" t="s">
        <v>27</v>
      </c>
      <c r="E13" s="35"/>
      <c r="F13" s="13"/>
      <c r="G13" s="13"/>
    </row>
    <row r="14" spans="1:10">
      <c r="D14" s="38" t="s">
        <v>28</v>
      </c>
      <c r="E14" s="37"/>
    </row>
    <row r="15" spans="1:10">
      <c r="D15" s="38" t="s">
        <v>29</v>
      </c>
      <c r="E15" s="37"/>
    </row>
    <row r="17" spans="2:2">
      <c r="B17" s="39" t="s">
        <v>30</v>
      </c>
    </row>
  </sheetData>
  <mergeCells count="10">
    <mergeCell ref="C10:G10"/>
    <mergeCell ref="D13:E13"/>
    <mergeCell ref="D14:E14"/>
    <mergeCell ref="D15:E15"/>
    <mergeCell ref="B1:C1"/>
    <mergeCell ref="B2:G2"/>
    <mergeCell ref="A4:G4"/>
    <mergeCell ref="C5:E5"/>
    <mergeCell ref="C6:E6"/>
    <mergeCell ref="B9:C9"/>
  </mergeCells>
  <pageMargins left="0.4" right="0.2" top="0.4" bottom="0.7" header="0.4" footer="0.5"/>
  <pageSetup paperSize="9" orientation="landscape" r:id="rId1"/>
  <headerFooter>
    <oddFooter>&amp;L&amp;"Lucida Handwriting"&amp;08Sistem informatic proiectat de SofteH Plus srl. Tel:323.78.37&amp;R&amp;"Lucida Handwriting"&amp;08Data listarii:&amp;D  &amp;BPag.&amp;P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Inv.101</vt:lpstr>
      <vt:lpstr>Inv.101!Print_Titles</vt:lpstr>
    </vt:vector>
  </TitlesOfParts>
  <Company>Ministerul Apararii Nationale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Simulete Constantin</dc:creator>
  <cp:lastModifiedBy>Simulete Constantin</cp:lastModifiedBy>
  <dcterms:created xsi:type="dcterms:W3CDTF">2026-09-14T05:16:29Z</dcterms:created>
  <dcterms:modified xsi:type="dcterms:W3CDTF">2026-09-14T05:16:51Z</dcterms:modified>
</cp:coreProperties>
</file>